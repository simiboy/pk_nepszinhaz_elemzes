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Pad\Desktop\periferia\RÉV8\pk_nepszinhaz_elemzes\"/>
    </mc:Choice>
  </mc:AlternateContent>
  <bookViews>
    <workbookView xWindow="240" yWindow="15" windowWidth="16095" windowHeight="9660" firstSheet="1" activeTab="1"/>
  </bookViews>
  <sheets>
    <sheet name="final_df" sheetId="1" r:id="rId1"/>
    <sheet name="final_df_sentiment" sheetId="2" r:id="rId2"/>
    <sheet name="Elemzés - előfordulás" sheetId="3" r:id="rId3"/>
    <sheet name="Elemzés - előfordulás aránya" sheetId="5" r:id="rId4"/>
    <sheet name="Elemzés - érzelem" sheetId="4" r:id="rId5"/>
  </sheets>
  <definedNames>
    <definedName name="_xlnm._FilterDatabase" localSheetId="2" hidden="1">'Elemzés - előfordulás'!$A$1:$C$1</definedName>
    <definedName name="_xlnm._FilterDatabase" localSheetId="3" hidden="1">'Elemzés - előfordulás aránya'!$A$1:$C$1</definedName>
    <definedName name="_xlnm._FilterDatabase" localSheetId="1" hidden="1">final_df_sentiment!$A$1:$CK$1</definedName>
  </definedNames>
  <calcPr calcId="162913"/>
</workbook>
</file>

<file path=xl/calcChain.xml><?xml version="1.0" encoding="utf-8"?>
<calcChain xmlns="http://schemas.openxmlformats.org/spreadsheetml/2006/main">
  <c r="J4" i="4" l="1"/>
  <c r="D4" i="4" s="1"/>
  <c r="K4" i="4"/>
  <c r="E4" i="4" s="1"/>
  <c r="L4" i="4"/>
  <c r="F4" i="4" s="1"/>
  <c r="M4" i="4"/>
  <c r="G4" i="4" s="1"/>
  <c r="N4" i="4"/>
  <c r="H4" i="4" s="1"/>
  <c r="O4" i="4"/>
  <c r="I4" i="4" s="1"/>
  <c r="J5" i="4"/>
  <c r="D5" i="4" s="1"/>
  <c r="K5" i="4"/>
  <c r="E5" i="4" s="1"/>
  <c r="L5" i="4"/>
  <c r="F5" i="4" s="1"/>
  <c r="M5" i="4"/>
  <c r="G5" i="4" s="1"/>
  <c r="N5" i="4"/>
  <c r="H5" i="4" s="1"/>
  <c r="O5" i="4"/>
  <c r="I5" i="4" s="1"/>
  <c r="J6" i="4"/>
  <c r="D6" i="4" s="1"/>
  <c r="K6" i="4"/>
  <c r="E6" i="4" s="1"/>
  <c r="L6" i="4"/>
  <c r="F6" i="4" s="1"/>
  <c r="M6" i="4"/>
  <c r="G6" i="4" s="1"/>
  <c r="N6" i="4"/>
  <c r="H6" i="4" s="1"/>
  <c r="O6" i="4"/>
  <c r="I6" i="4" s="1"/>
  <c r="J7" i="4"/>
  <c r="D7" i="4" s="1"/>
  <c r="K7" i="4"/>
  <c r="E7" i="4" s="1"/>
  <c r="L7" i="4"/>
  <c r="F7" i="4" s="1"/>
  <c r="M7" i="4"/>
  <c r="G7" i="4" s="1"/>
  <c r="N7" i="4"/>
  <c r="H7" i="4" s="1"/>
  <c r="O7" i="4"/>
  <c r="I7" i="4" s="1"/>
  <c r="J8" i="4"/>
  <c r="D8" i="4" s="1"/>
  <c r="K8" i="4"/>
  <c r="E8" i="4" s="1"/>
  <c r="L8" i="4"/>
  <c r="F8" i="4" s="1"/>
  <c r="M8" i="4"/>
  <c r="G8" i="4" s="1"/>
  <c r="N8" i="4"/>
  <c r="H8" i="4" s="1"/>
  <c r="O8" i="4"/>
  <c r="I8" i="4" s="1"/>
  <c r="J9" i="4"/>
  <c r="D9" i="4" s="1"/>
  <c r="K9" i="4"/>
  <c r="E9" i="4" s="1"/>
  <c r="L9" i="4"/>
  <c r="F9" i="4" s="1"/>
  <c r="M9" i="4"/>
  <c r="G9" i="4" s="1"/>
  <c r="N9" i="4"/>
  <c r="H9" i="4" s="1"/>
  <c r="O9" i="4"/>
  <c r="I9" i="4" s="1"/>
  <c r="J10" i="4"/>
  <c r="D10" i="4" s="1"/>
  <c r="K10" i="4"/>
  <c r="E10" i="4" s="1"/>
  <c r="L10" i="4"/>
  <c r="F10" i="4" s="1"/>
  <c r="M10" i="4"/>
  <c r="G10" i="4" s="1"/>
  <c r="N10" i="4"/>
  <c r="H10" i="4" s="1"/>
  <c r="O10" i="4"/>
  <c r="I10" i="4" s="1"/>
  <c r="J11" i="4"/>
  <c r="D11" i="4" s="1"/>
  <c r="K11" i="4"/>
  <c r="E11" i="4" s="1"/>
  <c r="L11" i="4"/>
  <c r="F11" i="4" s="1"/>
  <c r="M11" i="4"/>
  <c r="G11" i="4" s="1"/>
  <c r="N11" i="4"/>
  <c r="H11" i="4" s="1"/>
  <c r="O11" i="4"/>
  <c r="I11" i="4" s="1"/>
  <c r="J12" i="4"/>
  <c r="D12" i="4" s="1"/>
  <c r="K12" i="4"/>
  <c r="E12" i="4" s="1"/>
  <c r="L12" i="4"/>
  <c r="F12" i="4" s="1"/>
  <c r="M12" i="4"/>
  <c r="G12" i="4" s="1"/>
  <c r="N12" i="4"/>
  <c r="H12" i="4" s="1"/>
  <c r="O12" i="4"/>
  <c r="I12" i="4" s="1"/>
  <c r="J13" i="4"/>
  <c r="D13" i="4" s="1"/>
  <c r="K13" i="4"/>
  <c r="E13" i="4" s="1"/>
  <c r="L13" i="4"/>
  <c r="F13" i="4" s="1"/>
  <c r="M13" i="4"/>
  <c r="G13" i="4" s="1"/>
  <c r="N13" i="4"/>
  <c r="H13" i="4" s="1"/>
  <c r="O13" i="4"/>
  <c r="I13" i="4" s="1"/>
  <c r="J14" i="4"/>
  <c r="D14" i="4" s="1"/>
  <c r="K14" i="4"/>
  <c r="E14" i="4" s="1"/>
  <c r="L14" i="4"/>
  <c r="F14" i="4" s="1"/>
  <c r="M14" i="4"/>
  <c r="G14" i="4" s="1"/>
  <c r="N14" i="4"/>
  <c r="H14" i="4" s="1"/>
  <c r="O14" i="4"/>
  <c r="I14" i="4" s="1"/>
  <c r="J15" i="4"/>
  <c r="D15" i="4" s="1"/>
  <c r="K15" i="4"/>
  <c r="E15" i="4" s="1"/>
  <c r="L15" i="4"/>
  <c r="F15" i="4" s="1"/>
  <c r="M15" i="4"/>
  <c r="G15" i="4" s="1"/>
  <c r="N15" i="4"/>
  <c r="H15" i="4" s="1"/>
  <c r="O15" i="4"/>
  <c r="I15" i="4" s="1"/>
  <c r="J16" i="4"/>
  <c r="D16" i="4" s="1"/>
  <c r="K16" i="4"/>
  <c r="E16" i="4" s="1"/>
  <c r="L16" i="4"/>
  <c r="F16" i="4" s="1"/>
  <c r="M16" i="4"/>
  <c r="G16" i="4" s="1"/>
  <c r="N16" i="4"/>
  <c r="H16" i="4" s="1"/>
  <c r="O16" i="4"/>
  <c r="I16" i="4" s="1"/>
  <c r="J17" i="4"/>
  <c r="D17" i="4" s="1"/>
  <c r="K17" i="4"/>
  <c r="E17" i="4" s="1"/>
  <c r="L17" i="4"/>
  <c r="F17" i="4" s="1"/>
  <c r="M17" i="4"/>
  <c r="G17" i="4" s="1"/>
  <c r="N17" i="4"/>
  <c r="H17" i="4" s="1"/>
  <c r="O17" i="4"/>
  <c r="I17" i="4" s="1"/>
  <c r="J18" i="4"/>
  <c r="D18" i="4" s="1"/>
  <c r="K18" i="4"/>
  <c r="E18" i="4" s="1"/>
  <c r="L18" i="4"/>
  <c r="F18" i="4" s="1"/>
  <c r="M18" i="4"/>
  <c r="G18" i="4" s="1"/>
  <c r="N18" i="4"/>
  <c r="H18" i="4" s="1"/>
  <c r="O18" i="4"/>
  <c r="I18" i="4" s="1"/>
  <c r="J19" i="4"/>
  <c r="D19" i="4" s="1"/>
  <c r="K19" i="4"/>
  <c r="E19" i="4" s="1"/>
  <c r="L19" i="4"/>
  <c r="F19" i="4" s="1"/>
  <c r="M19" i="4"/>
  <c r="G19" i="4" s="1"/>
  <c r="N19" i="4"/>
  <c r="H19" i="4" s="1"/>
  <c r="O19" i="4"/>
  <c r="I19" i="4" s="1"/>
  <c r="J20" i="4"/>
  <c r="D20" i="4" s="1"/>
  <c r="K20" i="4"/>
  <c r="E20" i="4" s="1"/>
  <c r="L20" i="4"/>
  <c r="F20" i="4" s="1"/>
  <c r="M20" i="4"/>
  <c r="G20" i="4" s="1"/>
  <c r="N20" i="4"/>
  <c r="H20" i="4" s="1"/>
  <c r="O20" i="4"/>
  <c r="I20" i="4" s="1"/>
  <c r="J21" i="4"/>
  <c r="D21" i="4" s="1"/>
  <c r="K21" i="4"/>
  <c r="E21" i="4" s="1"/>
  <c r="L21" i="4"/>
  <c r="F21" i="4" s="1"/>
  <c r="M21" i="4"/>
  <c r="G21" i="4" s="1"/>
  <c r="N21" i="4"/>
  <c r="H21" i="4" s="1"/>
  <c r="O21" i="4"/>
  <c r="I21" i="4" s="1"/>
  <c r="J22" i="4"/>
  <c r="D22" i="4" s="1"/>
  <c r="K22" i="4"/>
  <c r="E22" i="4" s="1"/>
  <c r="L22" i="4"/>
  <c r="F22" i="4" s="1"/>
  <c r="M22" i="4"/>
  <c r="G22" i="4" s="1"/>
  <c r="N22" i="4"/>
  <c r="H22" i="4" s="1"/>
  <c r="O22" i="4"/>
  <c r="I22" i="4" s="1"/>
  <c r="J23" i="4"/>
  <c r="D23" i="4" s="1"/>
  <c r="K23" i="4"/>
  <c r="E23" i="4" s="1"/>
  <c r="L23" i="4"/>
  <c r="F23" i="4" s="1"/>
  <c r="M23" i="4"/>
  <c r="G23" i="4" s="1"/>
  <c r="N23" i="4"/>
  <c r="H23" i="4" s="1"/>
  <c r="O23" i="4"/>
  <c r="I23" i="4" s="1"/>
  <c r="J24" i="4"/>
  <c r="D24" i="4" s="1"/>
  <c r="K24" i="4"/>
  <c r="E24" i="4" s="1"/>
  <c r="L24" i="4"/>
  <c r="F24" i="4" s="1"/>
  <c r="M24" i="4"/>
  <c r="G24" i="4" s="1"/>
  <c r="N24" i="4"/>
  <c r="H24" i="4" s="1"/>
  <c r="O24" i="4"/>
  <c r="I24" i="4" s="1"/>
  <c r="J25" i="4"/>
  <c r="D25" i="4" s="1"/>
  <c r="K25" i="4"/>
  <c r="E25" i="4" s="1"/>
  <c r="L25" i="4"/>
  <c r="F25" i="4" s="1"/>
  <c r="M25" i="4"/>
  <c r="G25" i="4" s="1"/>
  <c r="N25" i="4"/>
  <c r="H25" i="4" s="1"/>
  <c r="O25" i="4"/>
  <c r="I25" i="4" s="1"/>
  <c r="J26" i="4"/>
  <c r="D26" i="4" s="1"/>
  <c r="K26" i="4"/>
  <c r="E26" i="4" s="1"/>
  <c r="L26" i="4"/>
  <c r="F26" i="4" s="1"/>
  <c r="M26" i="4"/>
  <c r="G26" i="4" s="1"/>
  <c r="N26" i="4"/>
  <c r="H26" i="4" s="1"/>
  <c r="O26" i="4"/>
  <c r="I26" i="4" s="1"/>
  <c r="J27" i="4"/>
  <c r="D27" i="4" s="1"/>
  <c r="K27" i="4"/>
  <c r="E27" i="4" s="1"/>
  <c r="L27" i="4"/>
  <c r="F27" i="4" s="1"/>
  <c r="M27" i="4"/>
  <c r="G27" i="4" s="1"/>
  <c r="N27" i="4"/>
  <c r="H27" i="4" s="1"/>
  <c r="O27" i="4"/>
  <c r="I27" i="4" s="1"/>
  <c r="J28" i="4"/>
  <c r="D28" i="4" s="1"/>
  <c r="K28" i="4"/>
  <c r="E28" i="4" s="1"/>
  <c r="L28" i="4"/>
  <c r="F28" i="4" s="1"/>
  <c r="M28" i="4"/>
  <c r="G28" i="4" s="1"/>
  <c r="N28" i="4"/>
  <c r="H28" i="4" s="1"/>
  <c r="O28" i="4"/>
  <c r="I28" i="4" s="1"/>
  <c r="J29" i="4"/>
  <c r="D29" i="4" s="1"/>
  <c r="K29" i="4"/>
  <c r="E29" i="4" s="1"/>
  <c r="L29" i="4"/>
  <c r="F29" i="4" s="1"/>
  <c r="M29" i="4"/>
  <c r="G29" i="4" s="1"/>
  <c r="N29" i="4"/>
  <c r="H29" i="4" s="1"/>
  <c r="O29" i="4"/>
  <c r="I29" i="4" s="1"/>
  <c r="J30" i="4"/>
  <c r="D30" i="4" s="1"/>
  <c r="K30" i="4"/>
  <c r="E30" i="4" s="1"/>
  <c r="L30" i="4"/>
  <c r="F30" i="4" s="1"/>
  <c r="M30" i="4"/>
  <c r="G30" i="4" s="1"/>
  <c r="N30" i="4"/>
  <c r="H30" i="4" s="1"/>
  <c r="O30" i="4"/>
  <c r="I30" i="4" s="1"/>
  <c r="J31" i="4"/>
  <c r="D31" i="4" s="1"/>
  <c r="K31" i="4"/>
  <c r="E31" i="4" s="1"/>
  <c r="L31" i="4"/>
  <c r="F31" i="4" s="1"/>
  <c r="M31" i="4"/>
  <c r="G31" i="4" s="1"/>
  <c r="N31" i="4"/>
  <c r="H31" i="4" s="1"/>
  <c r="O31" i="4"/>
  <c r="I31" i="4" s="1"/>
  <c r="J32" i="4"/>
  <c r="D32" i="4" s="1"/>
  <c r="K32" i="4"/>
  <c r="E32" i="4" s="1"/>
  <c r="L32" i="4"/>
  <c r="F32" i="4" s="1"/>
  <c r="M32" i="4"/>
  <c r="G32" i="4" s="1"/>
  <c r="N32" i="4"/>
  <c r="H32" i="4" s="1"/>
  <c r="O32" i="4"/>
  <c r="I32" i="4" s="1"/>
  <c r="J33" i="4"/>
  <c r="D33" i="4" s="1"/>
  <c r="K33" i="4"/>
  <c r="E33" i="4" s="1"/>
  <c r="L33" i="4"/>
  <c r="F33" i="4" s="1"/>
  <c r="M33" i="4"/>
  <c r="G33" i="4" s="1"/>
  <c r="N33" i="4"/>
  <c r="H33" i="4" s="1"/>
  <c r="O33" i="4"/>
  <c r="I33" i="4" s="1"/>
  <c r="J34" i="4"/>
  <c r="D34" i="4" s="1"/>
  <c r="K34" i="4"/>
  <c r="E34" i="4" s="1"/>
  <c r="L34" i="4"/>
  <c r="F34" i="4" s="1"/>
  <c r="M34" i="4"/>
  <c r="G34" i="4" s="1"/>
  <c r="N34" i="4"/>
  <c r="H34" i="4" s="1"/>
  <c r="O34" i="4"/>
  <c r="I34" i="4" s="1"/>
  <c r="J35" i="4"/>
  <c r="D35" i="4" s="1"/>
  <c r="K35" i="4"/>
  <c r="E35" i="4" s="1"/>
  <c r="L35" i="4"/>
  <c r="F35" i="4" s="1"/>
  <c r="M35" i="4"/>
  <c r="G35" i="4" s="1"/>
  <c r="N35" i="4"/>
  <c r="H35" i="4" s="1"/>
  <c r="O35" i="4"/>
  <c r="I35" i="4" s="1"/>
  <c r="J36" i="4"/>
  <c r="D36" i="4" s="1"/>
  <c r="K36" i="4"/>
  <c r="E36" i="4" s="1"/>
  <c r="L36" i="4"/>
  <c r="F36" i="4" s="1"/>
  <c r="M36" i="4"/>
  <c r="G36" i="4" s="1"/>
  <c r="N36" i="4"/>
  <c r="H36" i="4" s="1"/>
  <c r="O36" i="4"/>
  <c r="I36" i="4" s="1"/>
  <c r="J37" i="4"/>
  <c r="D37" i="4" s="1"/>
  <c r="K37" i="4"/>
  <c r="E37" i="4" s="1"/>
  <c r="L37" i="4"/>
  <c r="F37" i="4" s="1"/>
  <c r="M37" i="4"/>
  <c r="G37" i="4" s="1"/>
  <c r="N37" i="4"/>
  <c r="H37" i="4" s="1"/>
  <c r="O37" i="4"/>
  <c r="I37" i="4" s="1"/>
  <c r="J38" i="4"/>
  <c r="D38" i="4" s="1"/>
  <c r="K38" i="4"/>
  <c r="E38" i="4" s="1"/>
  <c r="L38" i="4"/>
  <c r="F38" i="4" s="1"/>
  <c r="M38" i="4"/>
  <c r="G38" i="4" s="1"/>
  <c r="N38" i="4"/>
  <c r="H38" i="4" s="1"/>
  <c r="O38" i="4"/>
  <c r="I38" i="4" s="1"/>
  <c r="J39" i="4"/>
  <c r="D39" i="4" s="1"/>
  <c r="K39" i="4"/>
  <c r="E39" i="4" s="1"/>
  <c r="L39" i="4"/>
  <c r="F39" i="4" s="1"/>
  <c r="M39" i="4"/>
  <c r="G39" i="4" s="1"/>
  <c r="N39" i="4"/>
  <c r="H39" i="4" s="1"/>
  <c r="O39" i="4"/>
  <c r="I39" i="4" s="1"/>
  <c r="J40" i="4"/>
  <c r="D40" i="4" s="1"/>
  <c r="K40" i="4"/>
  <c r="E40" i="4" s="1"/>
  <c r="L40" i="4"/>
  <c r="F40" i="4" s="1"/>
  <c r="M40" i="4"/>
  <c r="G40" i="4" s="1"/>
  <c r="N40" i="4"/>
  <c r="H40" i="4" s="1"/>
  <c r="O40" i="4"/>
  <c r="I40" i="4" s="1"/>
  <c r="J41" i="4"/>
  <c r="D41" i="4" s="1"/>
  <c r="K41" i="4"/>
  <c r="E41" i="4" s="1"/>
  <c r="L41" i="4"/>
  <c r="F41" i="4" s="1"/>
  <c r="M41" i="4"/>
  <c r="G41" i="4" s="1"/>
  <c r="N41" i="4"/>
  <c r="H41" i="4" s="1"/>
  <c r="O41" i="4"/>
  <c r="I41" i="4" s="1"/>
  <c r="J42" i="4"/>
  <c r="D42" i="4" s="1"/>
  <c r="K42" i="4"/>
  <c r="E42" i="4" s="1"/>
  <c r="L42" i="4"/>
  <c r="F42" i="4" s="1"/>
  <c r="M42" i="4"/>
  <c r="G42" i="4" s="1"/>
  <c r="N42" i="4"/>
  <c r="H42" i="4" s="1"/>
  <c r="O42" i="4"/>
  <c r="I42" i="4" s="1"/>
  <c r="J43" i="4"/>
  <c r="D43" i="4" s="1"/>
  <c r="K43" i="4"/>
  <c r="E43" i="4" s="1"/>
  <c r="L43" i="4"/>
  <c r="F43" i="4" s="1"/>
  <c r="M43" i="4"/>
  <c r="G43" i="4" s="1"/>
  <c r="N43" i="4"/>
  <c r="H43" i="4" s="1"/>
  <c r="O43" i="4"/>
  <c r="I43" i="4" s="1"/>
  <c r="J44" i="4"/>
  <c r="D44" i="4" s="1"/>
  <c r="K44" i="4"/>
  <c r="E44" i="4" s="1"/>
  <c r="L44" i="4"/>
  <c r="F44" i="4" s="1"/>
  <c r="M44" i="4"/>
  <c r="G44" i="4" s="1"/>
  <c r="N44" i="4"/>
  <c r="H44" i="4" s="1"/>
  <c r="O44" i="4"/>
  <c r="I44" i="4" s="1"/>
  <c r="J45" i="4"/>
  <c r="D45" i="4" s="1"/>
  <c r="K45" i="4"/>
  <c r="E45" i="4" s="1"/>
  <c r="L45" i="4"/>
  <c r="F45" i="4" s="1"/>
  <c r="M45" i="4"/>
  <c r="G45" i="4" s="1"/>
  <c r="N45" i="4"/>
  <c r="H45" i="4" s="1"/>
  <c r="O45" i="4"/>
  <c r="I45" i="4" s="1"/>
  <c r="J46" i="4"/>
  <c r="D46" i="4" s="1"/>
  <c r="K46" i="4"/>
  <c r="E46" i="4" s="1"/>
  <c r="L46" i="4"/>
  <c r="F46" i="4" s="1"/>
  <c r="M46" i="4"/>
  <c r="G46" i="4" s="1"/>
  <c r="N46" i="4"/>
  <c r="H46" i="4" s="1"/>
  <c r="O46" i="4"/>
  <c r="I46" i="4" s="1"/>
  <c r="J47" i="4"/>
  <c r="D47" i="4" s="1"/>
  <c r="K47" i="4"/>
  <c r="E47" i="4" s="1"/>
  <c r="L47" i="4"/>
  <c r="F47" i="4" s="1"/>
  <c r="M47" i="4"/>
  <c r="G47" i="4" s="1"/>
  <c r="N47" i="4"/>
  <c r="H47" i="4" s="1"/>
  <c r="O47" i="4"/>
  <c r="I47" i="4" s="1"/>
  <c r="O3" i="4"/>
  <c r="I3" i="4" s="1"/>
  <c r="N3" i="4"/>
  <c r="H3" i="4" s="1"/>
  <c r="M3" i="4"/>
  <c r="G3" i="4" s="1"/>
  <c r="L3" i="4"/>
  <c r="F3" i="4" s="1"/>
  <c r="K3" i="4"/>
  <c r="E3" i="4" s="1"/>
  <c r="J3" i="4"/>
  <c r="D3" i="4" s="1"/>
  <c r="D2" i="3"/>
  <c r="D3" i="3"/>
  <c r="D4" i="3"/>
  <c r="D5" i="3"/>
  <c r="D6" i="3"/>
  <c r="D7" i="3"/>
  <c r="D8" i="3"/>
  <c r="D9" i="3"/>
  <c r="E2" i="3"/>
  <c r="F2" i="3"/>
  <c r="G2" i="3"/>
  <c r="H2" i="3"/>
  <c r="I2" i="3"/>
  <c r="E3" i="3"/>
  <c r="F3" i="3"/>
  <c r="G3" i="3"/>
  <c r="H3" i="3"/>
  <c r="I3" i="3"/>
  <c r="E4" i="3"/>
  <c r="F4" i="3"/>
  <c r="G4" i="3"/>
  <c r="H4" i="3"/>
  <c r="I4" i="3"/>
  <c r="E5" i="3"/>
  <c r="F5" i="3"/>
  <c r="G5" i="3"/>
  <c r="H5" i="3"/>
  <c r="I5" i="3"/>
  <c r="E6" i="3"/>
  <c r="F6" i="3"/>
  <c r="G6" i="3"/>
  <c r="H6" i="3"/>
  <c r="I6" i="3"/>
  <c r="E7" i="3"/>
  <c r="F7" i="3"/>
  <c r="G7" i="3"/>
  <c r="H7" i="3"/>
  <c r="I7" i="3"/>
  <c r="D10" i="3"/>
  <c r="D11" i="3"/>
  <c r="D12" i="3"/>
  <c r="D13" i="3"/>
  <c r="D3" i="5"/>
  <c r="E3" i="5"/>
  <c r="F3" i="5"/>
  <c r="G3" i="5"/>
  <c r="H3" i="5"/>
  <c r="I3" i="5"/>
  <c r="D4" i="5"/>
  <c r="E4" i="5"/>
  <c r="F4" i="5"/>
  <c r="G4" i="5"/>
  <c r="H4" i="5"/>
  <c r="I4" i="5"/>
  <c r="D5" i="5"/>
  <c r="E5" i="5"/>
  <c r="F5" i="5"/>
  <c r="G5" i="5"/>
  <c r="H5" i="5"/>
  <c r="I5" i="5"/>
  <c r="D6" i="5"/>
  <c r="E6" i="5"/>
  <c r="F6" i="5"/>
  <c r="G6" i="5"/>
  <c r="H6" i="5"/>
  <c r="I6" i="5"/>
  <c r="D7" i="5"/>
  <c r="E7" i="5"/>
  <c r="F7" i="5"/>
  <c r="G7" i="5"/>
  <c r="H7" i="5"/>
  <c r="I7" i="5"/>
  <c r="D8" i="5"/>
  <c r="E8" i="5"/>
  <c r="F8" i="5"/>
  <c r="G8" i="5"/>
  <c r="H8" i="5"/>
  <c r="I8" i="5"/>
  <c r="D9" i="5"/>
  <c r="E9" i="5"/>
  <c r="F9" i="5"/>
  <c r="G9" i="5"/>
  <c r="H9" i="5"/>
  <c r="I9" i="5"/>
  <c r="D10" i="5"/>
  <c r="E10" i="5"/>
  <c r="F10" i="5"/>
  <c r="G10" i="5"/>
  <c r="H10" i="5"/>
  <c r="I10" i="5"/>
  <c r="D11" i="5"/>
  <c r="E11" i="5"/>
  <c r="F11" i="5"/>
  <c r="G11" i="5"/>
  <c r="H11" i="5"/>
  <c r="I11" i="5"/>
  <c r="D12" i="5"/>
  <c r="E12" i="5"/>
  <c r="F12" i="5"/>
  <c r="G12" i="5"/>
  <c r="H12" i="5"/>
  <c r="I12" i="5"/>
  <c r="D13" i="5"/>
  <c r="E13" i="5"/>
  <c r="F13" i="5"/>
  <c r="G13" i="5"/>
  <c r="H13" i="5"/>
  <c r="I13" i="5"/>
  <c r="D14" i="5"/>
  <c r="E14" i="5"/>
  <c r="F14" i="5"/>
  <c r="G14" i="5"/>
  <c r="H14" i="5"/>
  <c r="I14" i="5"/>
  <c r="D15" i="5"/>
  <c r="E15" i="5"/>
  <c r="F15" i="5"/>
  <c r="G15" i="5"/>
  <c r="H15" i="5"/>
  <c r="I15" i="5"/>
  <c r="D16" i="5"/>
  <c r="E16" i="5"/>
  <c r="F16" i="5"/>
  <c r="G16" i="5"/>
  <c r="H16" i="5"/>
  <c r="I16" i="5"/>
  <c r="D17" i="5"/>
  <c r="E17" i="5"/>
  <c r="F17" i="5"/>
  <c r="G17" i="5"/>
  <c r="H17" i="5"/>
  <c r="I17" i="5"/>
  <c r="D18" i="5"/>
  <c r="E18" i="5"/>
  <c r="F18" i="5"/>
  <c r="G18" i="5"/>
  <c r="H18" i="5"/>
  <c r="I18" i="5"/>
  <c r="D19" i="5"/>
  <c r="E19" i="5"/>
  <c r="F19" i="5"/>
  <c r="G19" i="5"/>
  <c r="H19" i="5"/>
  <c r="I19" i="5"/>
  <c r="D20" i="5"/>
  <c r="E20" i="5"/>
  <c r="F20" i="5"/>
  <c r="G20" i="5"/>
  <c r="H20" i="5"/>
  <c r="I20" i="5"/>
  <c r="D21" i="5"/>
  <c r="E21" i="5"/>
  <c r="F21" i="5"/>
  <c r="G21" i="5"/>
  <c r="H21" i="5"/>
  <c r="I21" i="5"/>
  <c r="D22" i="5"/>
  <c r="E22" i="5"/>
  <c r="F22" i="5"/>
  <c r="G22" i="5"/>
  <c r="H22" i="5"/>
  <c r="I22" i="5"/>
  <c r="D23" i="5"/>
  <c r="E23" i="5"/>
  <c r="F23" i="5"/>
  <c r="G23" i="5"/>
  <c r="H23" i="5"/>
  <c r="I23" i="5"/>
  <c r="D24" i="5"/>
  <c r="E24" i="5"/>
  <c r="F24" i="5"/>
  <c r="G24" i="5"/>
  <c r="H24" i="5"/>
  <c r="I24" i="5"/>
  <c r="D25" i="5"/>
  <c r="E25" i="5"/>
  <c r="F25" i="5"/>
  <c r="G25" i="5"/>
  <c r="H25" i="5"/>
  <c r="I25" i="5"/>
  <c r="D26" i="5"/>
  <c r="E26" i="5"/>
  <c r="F26" i="5"/>
  <c r="G26" i="5"/>
  <c r="H26" i="5"/>
  <c r="I26" i="5"/>
  <c r="D27" i="5"/>
  <c r="E27" i="5"/>
  <c r="F27" i="5"/>
  <c r="G27" i="5"/>
  <c r="H27" i="5"/>
  <c r="I27" i="5"/>
  <c r="D28" i="5"/>
  <c r="E28" i="5"/>
  <c r="F28" i="5"/>
  <c r="G28" i="5"/>
  <c r="H28" i="5"/>
  <c r="I28" i="5"/>
  <c r="D29" i="5"/>
  <c r="E29" i="5"/>
  <c r="F29" i="5"/>
  <c r="G29" i="5"/>
  <c r="H29" i="5"/>
  <c r="I29" i="5"/>
  <c r="D30" i="5"/>
  <c r="E30" i="5"/>
  <c r="F30" i="5"/>
  <c r="G30" i="5"/>
  <c r="H30" i="5"/>
  <c r="I30" i="5"/>
  <c r="D31" i="5"/>
  <c r="E31" i="5"/>
  <c r="F31" i="5"/>
  <c r="G31" i="5"/>
  <c r="H31" i="5"/>
  <c r="I31" i="5"/>
  <c r="D32" i="5"/>
  <c r="E32" i="5"/>
  <c r="F32" i="5"/>
  <c r="G32" i="5"/>
  <c r="H32" i="5"/>
  <c r="I32" i="5"/>
  <c r="D33" i="5"/>
  <c r="E33" i="5"/>
  <c r="F33" i="5"/>
  <c r="G33" i="5"/>
  <c r="H33" i="5"/>
  <c r="I33" i="5"/>
  <c r="D34" i="5"/>
  <c r="E34" i="5"/>
  <c r="F34" i="5"/>
  <c r="G34" i="5"/>
  <c r="H34" i="5"/>
  <c r="I34" i="5"/>
  <c r="D35" i="5"/>
  <c r="E35" i="5"/>
  <c r="F35" i="5"/>
  <c r="G35" i="5"/>
  <c r="H35" i="5"/>
  <c r="I35" i="5"/>
  <c r="D36" i="5"/>
  <c r="E36" i="5"/>
  <c r="F36" i="5"/>
  <c r="G36" i="5"/>
  <c r="H36" i="5"/>
  <c r="I36" i="5"/>
  <c r="D37" i="5"/>
  <c r="E37" i="5"/>
  <c r="F37" i="5"/>
  <c r="G37" i="5"/>
  <c r="H37" i="5"/>
  <c r="I37" i="5"/>
  <c r="D38" i="5"/>
  <c r="E38" i="5"/>
  <c r="F38" i="5"/>
  <c r="G38" i="5"/>
  <c r="H38" i="5"/>
  <c r="I38" i="5"/>
  <c r="D39" i="5"/>
  <c r="E39" i="5"/>
  <c r="F39" i="5"/>
  <c r="G39" i="5"/>
  <c r="H39" i="5"/>
  <c r="I39" i="5"/>
  <c r="D40" i="5"/>
  <c r="E40" i="5"/>
  <c r="F40" i="5"/>
  <c r="G40" i="5"/>
  <c r="H40" i="5"/>
  <c r="I40" i="5"/>
  <c r="D41" i="5"/>
  <c r="E41" i="5"/>
  <c r="F41" i="5"/>
  <c r="G41" i="5"/>
  <c r="H41" i="5"/>
  <c r="I41" i="5"/>
  <c r="D42" i="5"/>
  <c r="E42" i="5"/>
  <c r="F42" i="5"/>
  <c r="G42" i="5"/>
  <c r="H42" i="5"/>
  <c r="I42" i="5"/>
  <c r="D43" i="5"/>
  <c r="E43" i="5"/>
  <c r="F43" i="5"/>
  <c r="G43" i="5"/>
  <c r="H43" i="5"/>
  <c r="I43" i="5"/>
  <c r="D44" i="5"/>
  <c r="E44" i="5"/>
  <c r="F44" i="5"/>
  <c r="G44" i="5"/>
  <c r="H44" i="5"/>
  <c r="I44" i="5"/>
  <c r="D45" i="5"/>
  <c r="E45" i="5"/>
  <c r="F45" i="5"/>
  <c r="G45" i="5"/>
  <c r="H45" i="5"/>
  <c r="I45" i="5"/>
  <c r="D46" i="5"/>
  <c r="E46" i="5"/>
  <c r="F46" i="5"/>
  <c r="G46" i="5"/>
  <c r="H46" i="5"/>
  <c r="I46" i="5"/>
  <c r="D47" i="5"/>
  <c r="E47" i="5"/>
  <c r="F47" i="5"/>
  <c r="G47" i="5"/>
  <c r="H47" i="5"/>
  <c r="I47" i="5"/>
  <c r="D48" i="5"/>
  <c r="E48" i="5"/>
  <c r="F48" i="5"/>
  <c r="G48" i="5"/>
  <c r="H48" i="5"/>
  <c r="I48" i="5"/>
  <c r="D49" i="5"/>
  <c r="E49" i="5"/>
  <c r="F49" i="5"/>
  <c r="G49" i="5"/>
  <c r="H49" i="5"/>
  <c r="I49" i="5"/>
  <c r="D50" i="5"/>
  <c r="E50" i="5"/>
  <c r="F50" i="5"/>
  <c r="G50" i="5"/>
  <c r="H50" i="5"/>
  <c r="I50" i="5"/>
  <c r="D51" i="5"/>
  <c r="E51" i="5"/>
  <c r="F51" i="5"/>
  <c r="G51" i="5"/>
  <c r="H51" i="5"/>
  <c r="I51" i="5"/>
  <c r="D52" i="5"/>
  <c r="E52" i="5"/>
  <c r="F52" i="5"/>
  <c r="G52" i="5"/>
  <c r="H52" i="5"/>
  <c r="I52" i="5"/>
  <c r="D53" i="5"/>
  <c r="E53" i="5"/>
  <c r="F53" i="5"/>
  <c r="G53" i="5"/>
  <c r="H53" i="5"/>
  <c r="I53" i="5"/>
  <c r="D54" i="5"/>
  <c r="E54" i="5"/>
  <c r="F54" i="5"/>
  <c r="G54" i="5"/>
  <c r="H54" i="5"/>
  <c r="I54" i="5"/>
  <c r="H2" i="5"/>
  <c r="I2" i="5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48" i="3"/>
  <c r="F48" i="3"/>
  <c r="E49" i="3"/>
  <c r="F49" i="3"/>
  <c r="E50" i="3"/>
  <c r="F50" i="3"/>
  <c r="E51" i="3"/>
  <c r="F51" i="3"/>
  <c r="E52" i="3"/>
  <c r="F52" i="3"/>
  <c r="E53" i="3"/>
  <c r="F53" i="3"/>
  <c r="E54" i="3"/>
  <c r="F54" i="3"/>
  <c r="G2" i="5"/>
  <c r="F2" i="5"/>
  <c r="E2" i="5"/>
  <c r="D2" i="5"/>
  <c r="G8" i="3"/>
  <c r="H8" i="3"/>
  <c r="I8" i="3"/>
  <c r="G9" i="3"/>
  <c r="H9" i="3"/>
  <c r="I9" i="3"/>
  <c r="G10" i="3"/>
  <c r="H10" i="3"/>
  <c r="I10" i="3"/>
  <c r="G11" i="3"/>
  <c r="H11" i="3"/>
  <c r="I11" i="3"/>
  <c r="G12" i="3"/>
  <c r="H12" i="3"/>
  <c r="I12" i="3"/>
  <c r="G13" i="3"/>
  <c r="H13" i="3"/>
  <c r="I13" i="3"/>
  <c r="G14" i="3"/>
  <c r="H14" i="3"/>
  <c r="I14" i="3"/>
  <c r="G15" i="3"/>
  <c r="H15" i="3"/>
  <c r="I15" i="3"/>
  <c r="G16" i="3"/>
  <c r="H16" i="3"/>
  <c r="I16" i="3"/>
  <c r="G17" i="3"/>
  <c r="H17" i="3"/>
  <c r="I17" i="3"/>
  <c r="G18" i="3"/>
  <c r="H18" i="3"/>
  <c r="I18" i="3"/>
  <c r="G19" i="3"/>
  <c r="H19" i="3"/>
  <c r="I19" i="3"/>
  <c r="G20" i="3"/>
  <c r="H20" i="3"/>
  <c r="I20" i="3"/>
  <c r="G21" i="3"/>
  <c r="H21" i="3"/>
  <c r="I21" i="3"/>
  <c r="G22" i="3"/>
  <c r="H22" i="3"/>
  <c r="I22" i="3"/>
  <c r="G23" i="3"/>
  <c r="H23" i="3"/>
  <c r="I23" i="3"/>
  <c r="G24" i="3"/>
  <c r="H24" i="3"/>
  <c r="I24" i="3"/>
  <c r="G25" i="3"/>
  <c r="H25" i="3"/>
  <c r="I25" i="3"/>
  <c r="G26" i="3"/>
  <c r="H26" i="3"/>
  <c r="I26" i="3"/>
  <c r="G27" i="3"/>
  <c r="H27" i="3"/>
  <c r="I27" i="3"/>
  <c r="G28" i="3"/>
  <c r="H28" i="3"/>
  <c r="I28" i="3"/>
  <c r="G29" i="3"/>
  <c r="H29" i="3"/>
  <c r="I29" i="3"/>
  <c r="G30" i="3"/>
  <c r="H30" i="3"/>
  <c r="I30" i="3"/>
  <c r="G31" i="3"/>
  <c r="H31" i="3"/>
  <c r="I31" i="3"/>
  <c r="G32" i="3"/>
  <c r="H32" i="3"/>
  <c r="I32" i="3"/>
  <c r="G33" i="3"/>
  <c r="H33" i="3"/>
  <c r="I33" i="3"/>
  <c r="G34" i="3"/>
  <c r="H34" i="3"/>
  <c r="I34" i="3"/>
  <c r="G35" i="3"/>
  <c r="H35" i="3"/>
  <c r="I35" i="3"/>
  <c r="G36" i="3"/>
  <c r="H36" i="3"/>
  <c r="I36" i="3"/>
  <c r="G37" i="3"/>
  <c r="H37" i="3"/>
  <c r="I37" i="3"/>
  <c r="G38" i="3"/>
  <c r="H38" i="3"/>
  <c r="I38" i="3"/>
  <c r="G39" i="3"/>
  <c r="H39" i="3"/>
  <c r="I39" i="3"/>
  <c r="G40" i="3"/>
  <c r="H40" i="3"/>
  <c r="I40" i="3"/>
  <c r="G41" i="3"/>
  <c r="H41" i="3"/>
  <c r="I41" i="3"/>
  <c r="G42" i="3"/>
  <c r="H42" i="3"/>
  <c r="I42" i="3"/>
  <c r="G43" i="3"/>
  <c r="H43" i="3"/>
  <c r="I43" i="3"/>
  <c r="G44" i="3"/>
  <c r="H44" i="3"/>
  <c r="I44" i="3"/>
  <c r="G45" i="3"/>
  <c r="H45" i="3"/>
  <c r="I45" i="3"/>
  <c r="G46" i="3"/>
  <c r="H46" i="3"/>
  <c r="I46" i="3"/>
  <c r="G47" i="3"/>
  <c r="H47" i="3"/>
  <c r="I47" i="3"/>
  <c r="G48" i="3"/>
  <c r="H48" i="3"/>
  <c r="I48" i="3"/>
  <c r="G49" i="3"/>
  <c r="H49" i="3"/>
  <c r="I49" i="3"/>
  <c r="G50" i="3"/>
  <c r="H50" i="3"/>
  <c r="I50" i="3"/>
  <c r="G51" i="3"/>
  <c r="H51" i="3"/>
  <c r="I51" i="3"/>
  <c r="G52" i="3"/>
  <c r="H52" i="3"/>
  <c r="I52" i="3"/>
  <c r="G53" i="3"/>
  <c r="H53" i="3"/>
  <c r="I53" i="3"/>
  <c r="G54" i="3"/>
  <c r="H54" i="3"/>
  <c r="I54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</calcChain>
</file>

<file path=xl/sharedStrings.xml><?xml version="1.0" encoding="utf-8"?>
<sst xmlns="http://schemas.openxmlformats.org/spreadsheetml/2006/main" count="2817" uniqueCount="452">
  <si>
    <t>id</t>
  </si>
  <si>
    <t>interviewer1</t>
  </si>
  <si>
    <t>interviewer2</t>
  </si>
  <si>
    <t>birth_year</t>
  </si>
  <si>
    <t>gender</t>
  </si>
  <si>
    <t>education</t>
  </si>
  <si>
    <t>housing_type</t>
  </si>
  <si>
    <t>household_size</t>
  </si>
  <si>
    <t>num_children</t>
  </si>
  <si>
    <t>apartment_size</t>
  </si>
  <si>
    <t>apartment_location</t>
  </si>
  <si>
    <t>occupation</t>
  </si>
  <si>
    <t>years_in_district</t>
  </si>
  <si>
    <t>years_in_apartment</t>
  </si>
  <si>
    <t>prev_residence</t>
  </si>
  <si>
    <t>prev_district</t>
  </si>
  <si>
    <t>prev_aggr</t>
  </si>
  <si>
    <t>housing_expenses_total</t>
  </si>
  <si>
    <t>utilities_cost</t>
  </si>
  <si>
    <t>rent_cost</t>
  </si>
  <si>
    <t>mortgage_cost</t>
  </si>
  <si>
    <t>total_income</t>
  </si>
  <si>
    <t>expense_coverage</t>
  </si>
  <si>
    <t>address</t>
  </si>
  <si>
    <t>floor</t>
  </si>
  <si>
    <t>contact</t>
  </si>
  <si>
    <t>apartment_quality</t>
  </si>
  <si>
    <t>extra_notes</t>
  </si>
  <si>
    <t>interview_length</t>
  </si>
  <si>
    <t>other_comments</t>
  </si>
  <si>
    <t>elhelyezkedés</t>
  </si>
  <si>
    <t>housing_overburden</t>
  </si>
  <si>
    <t>lakhatasi_szegeny</t>
  </si>
  <si>
    <t>income_per_person</t>
  </si>
  <si>
    <t>education_aggr</t>
  </si>
  <si>
    <t>age_group</t>
  </si>
  <si>
    <t>housing_type_aggr</t>
  </si>
  <si>
    <t>housing_expenses_PP</t>
  </si>
  <si>
    <t>category</t>
  </si>
  <si>
    <t>f_years_in_apartment_grp</t>
  </si>
  <si>
    <t>income_group</t>
  </si>
  <si>
    <t>Ideköltözés okai és körülményei - Családi / személyes okok</t>
  </si>
  <si>
    <t>Pozitív / Negatív - Negatív</t>
  </si>
  <si>
    <t>Pozitív / Negatív - Pozitív</t>
  </si>
  <si>
    <t>Társasházak működése (jelenleg) - Fizikai állapot / karbantartás</t>
  </si>
  <si>
    <t>Társasházak működése (jelenleg) - Közös képviselet</t>
  </si>
  <si>
    <t>Társasházak működése (jelenleg) - Közös terek használata</t>
  </si>
  <si>
    <t>Társasházak működése (jelenleg) - Közösségi élet</t>
  </si>
  <si>
    <t>Utca változásai - Fizikai környezet és utcakép változásai</t>
  </si>
  <si>
    <t>Utca változásai - Lakossági összetétel / közösségek</t>
  </si>
  <si>
    <t>Utca változásai - Üzletek / szolgáltatások / vendéglátás</t>
  </si>
  <si>
    <t>Utcahasználat (jelenleg) - Vásárlás / boltok / szolgáltatások</t>
  </si>
  <si>
    <t>Utcán mit változtatna - Közlekedés</t>
  </si>
  <si>
    <t>Utcával kapcsolatos attitűdök - Biztonságérzet</t>
  </si>
  <si>
    <t>Utcával kapcsolatos attitűdök - Környezeti benyomások (zaj / szmog / más)</t>
  </si>
  <si>
    <t>Utcával kapcsolatos attitűdök - Társadalmi sokszínűség (etnikai / osztálybeli / más)</t>
  </si>
  <si>
    <t>Önkormányzati szerep - Jelenleg</t>
  </si>
  <si>
    <t>Önkormányzati szerep - Jövőre - Utcánál</t>
  </si>
  <si>
    <t>Ideköltözés okai és körülményei - Anyagi</t>
  </si>
  <si>
    <t>Ideköltözés okai és körülményei - Kulturális</t>
  </si>
  <si>
    <t>Izgalmas idézet - Tanulmányba / kiállíásra</t>
  </si>
  <si>
    <t>Jövőkép a társasházról - Lakóközösség cseréje</t>
  </si>
  <si>
    <t>Jövőkép a társasházról - Változtatná a társasházon</t>
  </si>
  <si>
    <t>Jövőkép a társasházról - Általános jövőkép</t>
  </si>
  <si>
    <t>Jövőkép az utcáról - Jövőkép az utcáról</t>
  </si>
  <si>
    <t>Lakhatási helyzet - Elhelyezkedés</t>
  </si>
  <si>
    <t>Lakhatási helyzet - Komfortszint</t>
  </si>
  <si>
    <t>Társasházak működése (jelenleg) - Biztonság</t>
  </si>
  <si>
    <t>Társasházak működése (jelenleg) - Lakóközösség változása</t>
  </si>
  <si>
    <t>Utca változásai - Közbiztonság és közterületi viselkedés</t>
  </si>
  <si>
    <t>Utcahasználat (jelenleg) - Közlekedési élmények</t>
  </si>
  <si>
    <t>Utcahasználat (jelenleg) - Közterület használata</t>
  </si>
  <si>
    <t>Utcahasználat (jelenleg) - Közösségi interakciók az utcán</t>
  </si>
  <si>
    <t>Utcahasználat (jelenleg) - Szabadidő / szórakozás / vendéglátás</t>
  </si>
  <si>
    <t>Utcai fejlesztések értékelése - Blaha Lujza tér</t>
  </si>
  <si>
    <t>Utcai fejlesztések értékelése - II. János Pál pápa tér</t>
  </si>
  <si>
    <t>Utcai fejlesztések értékelése - Négyes metró</t>
  </si>
  <si>
    <t>Utcai fejlesztések értékelése - Utcai zöldítések</t>
  </si>
  <si>
    <t>Utcán mit változtatna - Infrastuktúra</t>
  </si>
  <si>
    <t>Utcával kapcsolatos attitűdök - Tisztaság / rendezettség</t>
  </si>
  <si>
    <t>Utcával kapcsolatos attitűdök - Érzelmi kötődés</t>
  </si>
  <si>
    <t>Utcán mit változtatna - Közbiztonság javítása</t>
  </si>
  <si>
    <t>Utcán mit változtatna - Szociális ellátórendszer</t>
  </si>
  <si>
    <t>Utcán mit változtatna - Tisztaság / rendezettség javítása</t>
  </si>
  <si>
    <t>Ideköltözés okai és körülményei - Munka / közlekedés</t>
  </si>
  <si>
    <t>Izgalmas idézet - Csak vicces</t>
  </si>
  <si>
    <t>Utcai fejlesztések értékelése - Nincs hatása</t>
  </si>
  <si>
    <t>Utcai fejlesztések értékelése - Teleki tér</t>
  </si>
  <si>
    <t>Utcán mit változtatna - Szabadidő / szórakozás / vendéglátás - változtatna</t>
  </si>
  <si>
    <t>Utcán mit változtatna - Zöldítés</t>
  </si>
  <si>
    <t>Önkormányzati szerep - Jövőre - Társasháznál</t>
  </si>
  <si>
    <t>Jövőkép a társasházról - Lakóközösség szerepe</t>
  </si>
  <si>
    <t>Utcán mit változtatna - Vásárlás / boltok / szolgáltatások - változtatna</t>
  </si>
  <si>
    <t>NA - NA</t>
  </si>
  <si>
    <t>Jövőkép a társasházról - Közös képviselet szerepe</t>
  </si>
  <si>
    <t>BBGB01</t>
  </si>
  <si>
    <t>Bekker Balázs</t>
  </si>
  <si>
    <t>Gecse Barbara</t>
  </si>
  <si>
    <t>Nő</t>
  </si>
  <si>
    <t>főiskolai v. egyetemi diploma</t>
  </si>
  <si>
    <t>saját tulajdon</t>
  </si>
  <si>
    <t>utcai</t>
  </si>
  <si>
    <t>Óvodavezető</t>
  </si>
  <si>
    <t>Budapest</t>
  </si>
  <si>
    <t>Budapest (Pest)</t>
  </si>
  <si>
    <t>Könnyen</t>
  </si>
  <si>
    <t>Népszínház 31.</t>
  </si>
  <si>
    <t>Lakás teljesen rendezett, tiszta. a zunokájával ketten élnek. van egy nyuszi</t>
  </si>
  <si>
    <t xml:space="preserve">pár éve meghalt a lánya és ezért vette az unokáját maga mellé. </t>
  </si>
  <si>
    <t>Kiss József utca - Nagy Fuvaros utca</t>
  </si>
  <si>
    <t>diploma</t>
  </si>
  <si>
    <t>50 és 64 év közötti</t>
  </si>
  <si>
    <t>tulajdonos</t>
  </si>
  <si>
    <t>idős</t>
  </si>
  <si>
    <t>1990 és 2016 között</t>
  </si>
  <si>
    <t>Middle</t>
  </si>
  <si>
    <t>BNGC01</t>
  </si>
  <si>
    <t>Baranya Nikoletta</t>
  </si>
  <si>
    <t>Gregor Csaba</t>
  </si>
  <si>
    <t>adatvédelmi szakértő -&gt; 5 hónapja munkanélküli</t>
  </si>
  <si>
    <t>Budapest (Buda)</t>
  </si>
  <si>
    <t>Viszonylag nehezen</t>
  </si>
  <si>
    <t>Népszínház 32.</t>
  </si>
  <si>
    <t>Nagyon értelmiségi lakás, tágas otthonosan limlomos</t>
  </si>
  <si>
    <t>Azért jönnek ki viszonylag nehezen a pénzből mert a gyerekek külföldi taníttatására sokat költenek</t>
  </si>
  <si>
    <t>Nagy Fuvaros utca - Alföldi utca</t>
  </si>
  <si>
    <t>fiatal tulajdonos</t>
  </si>
  <si>
    <t>2016 és 2023 között</t>
  </si>
  <si>
    <t>High</t>
  </si>
  <si>
    <t>BNGC02</t>
  </si>
  <si>
    <t>Baranya Nikolett</t>
  </si>
  <si>
    <t>gimnáziumi érettségi</t>
  </si>
  <si>
    <t>piaci bérlet</t>
  </si>
  <si>
    <t>udvari</t>
  </si>
  <si>
    <t>ruházati boltban eladó</t>
  </si>
  <si>
    <t>Székesfehérvár</t>
  </si>
  <si>
    <t>Dunántúl</t>
  </si>
  <si>
    <t>Viszonylag könnyen</t>
  </si>
  <si>
    <t>Népszínház 13.</t>
  </si>
  <si>
    <t>a lakásban nagytakarítás volt, ezért az erkélyen ültünk</t>
  </si>
  <si>
    <t>József krt. - Kiss József utca</t>
  </si>
  <si>
    <t>érettségi</t>
  </si>
  <si>
    <t>18 és 29 év közötti</t>
  </si>
  <si>
    <t>nem tulajdonos</t>
  </si>
  <si>
    <t>fiatal bérlő</t>
  </si>
  <si>
    <t>utóbbi két évben</t>
  </si>
  <si>
    <t>BNJR01</t>
  </si>
  <si>
    <t>Jankó Rebeka</t>
  </si>
  <si>
    <t>Férfi</t>
  </si>
  <si>
    <t>IT account manager</t>
  </si>
  <si>
    <t>Nyolcadik kerület</t>
  </si>
  <si>
    <t>Népszínház 16.</t>
  </si>
  <si>
    <t>Nem volt jó állapotú, de nem is lepukkant. nem felújított. kvázi a barátnője is itt él.</t>
  </si>
  <si>
    <t>BNPC01</t>
  </si>
  <si>
    <t>Polyák Csaba</t>
  </si>
  <si>
    <t>masszőr, szocmunkás</t>
  </si>
  <si>
    <t>Nehezen</t>
  </si>
  <si>
    <t>kulturált, tenni akaró ember, nagyon szép hippi lakás, zöld</t>
  </si>
  <si>
    <t>"nem az számít, milyen üzletre van szükség még, azt a piac kitermeli. az a fontos, hogy ne menjenek el, pl. gyógyszertár elment"</t>
  </si>
  <si>
    <t>30 és 49 év közötti</t>
  </si>
  <si>
    <t>DBLJ01</t>
  </si>
  <si>
    <t>Lökkös Júlia</t>
  </si>
  <si>
    <t>Dancs Balázs</t>
  </si>
  <si>
    <t>tolmács, fordító egyéni vállalkozóként</t>
  </si>
  <si>
    <t>tágas, rendezett, jó körülmények</t>
  </si>
  <si>
    <t>idős értelmiségi, zsidó, valószínűleg gyakorló, van egy lánya, elvált és özvegy</t>
  </si>
  <si>
    <t>65 év feletti</t>
  </si>
  <si>
    <t>Low</t>
  </si>
  <si>
    <t>DBLJ02</t>
  </si>
  <si>
    <t>földmérő, nyugdíjas</t>
  </si>
  <si>
    <t>tágas, nagypolgári lakás, rendezett, jó lakáskörülmények</t>
  </si>
  <si>
    <t>1990 előtt</t>
  </si>
  <si>
    <t>DBLJ03</t>
  </si>
  <si>
    <t>nyugdíjas, könyvesbolt-vezető</t>
  </si>
  <si>
    <t>Ide született</t>
  </si>
  <si>
    <t>Bauer Sándor utca 19.</t>
  </si>
  <si>
    <t>jó életkörülmények, régies tárgyak</t>
  </si>
  <si>
    <t>a lánya éjszakai műszakban dolgozik egy benzinkúton</t>
  </si>
  <si>
    <t>Alföldi utca - Teleki tér</t>
  </si>
  <si>
    <t>DBSA01</t>
  </si>
  <si>
    <t>Szakály Abigél Noémi</t>
  </si>
  <si>
    <t>építész</t>
  </si>
  <si>
    <t>nagyon szép fényes, tágas, felújított</t>
  </si>
  <si>
    <t>nagyon jó körülmények között élnek, háztartást a feleség vezeti, adatokra nagyon szenzitív, kormányellenes, a kormányváltástól sokat vár</t>
  </si>
  <si>
    <t>DEDB01</t>
  </si>
  <si>
    <t>Dányi Emese</t>
  </si>
  <si>
    <t>szakmunkásképző</t>
  </si>
  <si>
    <t>szívességi használat</t>
  </si>
  <si>
    <t>villanyszerelő a vidámparkban</t>
  </si>
  <si>
    <t>régi berendezések, zsúfolt de rendezett, nem túl tiszta</t>
  </si>
  <si>
    <t>érettségi alatt</t>
  </si>
  <si>
    <t>DEDB02</t>
  </si>
  <si>
    <t>befejezett 8 osztály</t>
  </si>
  <si>
    <t>takarító</t>
  </si>
  <si>
    <t>régies, muslicák voltak, zene és tv ment, unokák vendégségben voltak, a férje rokkant. a győgyszereket drágának tartja, gondban van velük</t>
  </si>
  <si>
    <t>stílusos berendezés</t>
  </si>
  <si>
    <t>DEKR01</t>
  </si>
  <si>
    <t>Kisházi Réka</t>
  </si>
  <si>
    <t>szakközépiskolai érettségi</t>
  </si>
  <si>
    <t>vendéglátó</t>
  </si>
  <si>
    <t>kicsi, de rendezett, nem rég költözött</t>
  </si>
  <si>
    <t>bicskei gyermekotthonos, a barátnője is, aki még ott lakik</t>
  </si>
  <si>
    <t>most költözött, a wc ajtót nem lehet becsukni, kb. nincs is ajtó</t>
  </si>
  <si>
    <t>DEKR02</t>
  </si>
  <si>
    <t>szoftverfejlesztő</t>
  </si>
  <si>
    <t>a ház rossz állapotú, omladozik, de a lakás szép. meleg volt, volt cica meg robotporszívó. nagy tv, sok dolog, rendetlenség, nem főznek.</t>
  </si>
  <si>
    <t>HCSL01</t>
  </si>
  <si>
    <t>Hajdu Csilla</t>
  </si>
  <si>
    <t>Szöllősi Luca</t>
  </si>
  <si>
    <t>gyorséttermi dolgozó</t>
  </si>
  <si>
    <t>Népszínház 19.</t>
  </si>
  <si>
    <t>kupi volt nála, úgyhogy a belső udvaron interjúztunk</t>
  </si>
  <si>
    <t>régebben voltak falikutak a falon, amibe virágokat ültettek (mostanra leszedték a falikutakat)</t>
  </si>
  <si>
    <t>JRDE01</t>
  </si>
  <si>
    <t>szülésznő</t>
  </si>
  <si>
    <t>Pilisszentiván</t>
  </si>
  <si>
    <t>Pest megye</t>
  </si>
  <si>
    <t>Otthonos, van cica, nem zsúfolt, konyha régi, de le akarja cserélni. Amikor ide költözött mindent fel kellett újítani. Saját lakása előtt is rendbetartja a környezetetét.</t>
  </si>
  <si>
    <t>JRDE02</t>
  </si>
  <si>
    <t>gyengeárammal kapcsolatos technikus</t>
  </si>
  <si>
    <t>Nagykovácsi</t>
  </si>
  <si>
    <t>JRGC01</t>
  </si>
  <si>
    <t>egyetemista</t>
  </si>
  <si>
    <t>Kisbér</t>
  </si>
  <si>
    <t>társbérlet</t>
  </si>
  <si>
    <t>KROD01</t>
  </si>
  <si>
    <t>Osvay Dorottya</t>
  </si>
  <si>
    <t>gépészmérnök</t>
  </si>
  <si>
    <t>Budapest, Norvégia</t>
  </si>
  <si>
    <t>Nem tudja</t>
  </si>
  <si>
    <t>Népszínház 36.</t>
  </si>
  <si>
    <t>6-an laknak együtt, mind külföldiek</t>
  </si>
  <si>
    <t>palesztin férfi, jól tud magyarul</t>
  </si>
  <si>
    <t>KROD02</t>
  </si>
  <si>
    <t>közgazdász</t>
  </si>
  <si>
    <t>Népszínház 22.</t>
  </si>
  <si>
    <t>A lakás felújítás alatt áll még, de jól szituáltnak tűnik</t>
  </si>
  <si>
    <t>KROD03</t>
  </si>
  <si>
    <t>térképész</t>
  </si>
  <si>
    <t>Barcs</t>
  </si>
  <si>
    <t>jól szituált, felesége festőművész és a füvészkertben dolgozik, diplomás házaspár gyerekekkel, feleség festményeivel van kidekrálva mind a gang mind a lakás</t>
  </si>
  <si>
    <t>KROD04</t>
  </si>
  <si>
    <t>Nyugdíjfolyósító Igazgatóságnál</t>
  </si>
  <si>
    <t>Alföldi utca 2.</t>
  </si>
  <si>
    <t>állítása szerint küzködik anyagilag. a lakása jól szituált</t>
  </si>
  <si>
    <t>KROD05</t>
  </si>
  <si>
    <t>hűtés-fűtés tech értékesítő</t>
  </si>
  <si>
    <t>Szarvas</t>
  </si>
  <si>
    <t>Észak és Alföld</t>
  </si>
  <si>
    <t>rendezett, jól szituált tiszta lakás</t>
  </si>
  <si>
    <t>KROD06</t>
  </si>
  <si>
    <t>kereskedelmi menedzser, most gyereket nevel</t>
  </si>
  <si>
    <t>Népszínház 57.</t>
  </si>
  <si>
    <t>zsúfolt, rendezett lakás</t>
  </si>
  <si>
    <t>A házban vannak kinti wc-k, amit mások használnak is.</t>
  </si>
  <si>
    <t>a népszínház utcában nőtt fel, 7 hónapot élt Egyiptomban, 4 évet a 7 kerben, de azon kívül egész életében népszi és diószegi</t>
  </si>
  <si>
    <t>KRTB01</t>
  </si>
  <si>
    <t>Tömösvári Barnabás</t>
  </si>
  <si>
    <t>diák, weblaptervező</t>
  </si>
  <si>
    <t>Nagyon könnyen</t>
  </si>
  <si>
    <t>Népszínház 42-44.</t>
  </si>
  <si>
    <t>értelmiségi, diáklakás, pride zászló, rendezett, tiszta</t>
  </si>
  <si>
    <t>KRTB02</t>
  </si>
  <si>
    <t>mentális közérzetjavítás, ékszeres vállalkozás</t>
  </si>
  <si>
    <t>Népszínház 14.</t>
  </si>
  <si>
    <t>most költözött, zsúfolt, de rendezett - sűrűn dekorált. keresztény és keleti-spirituális jelképek, díszek, stb.</t>
  </si>
  <si>
    <t>nemrég veszítette el az állását, egy hónapja költözött, válófélben van. úgy tűnik, most a tartalékaiból él, ez egy újonnan kialakult helyzet</t>
  </si>
  <si>
    <t>KRTB03</t>
  </si>
  <si>
    <t>barber</t>
  </si>
  <si>
    <t>Népszínház 49.</t>
  </si>
  <si>
    <t>mikor a barátnője apja megtudta, hogy itt lakik, nem akarta, hogy találkozzanak, mert "itt csak romák laknak". úgy érzi, hogy az, hogy itt lakik, sokszor negatív előítéletekkel jár, megbélyegzéssel találkozik</t>
  </si>
  <si>
    <t>LJBN01</t>
  </si>
  <si>
    <t>munkanélküli, egyetemista, korábban dolgozott könyvkötőműhelyben</t>
  </si>
  <si>
    <t xml:space="preserve">tágas, világos, szépen berendezett, elég felső-közés életkörülmények, füstölő a wc-ben </t>
  </si>
  <si>
    <t>zajos a lakás az utca miatt</t>
  </si>
  <si>
    <t>LJSA01</t>
  </si>
  <si>
    <t>villamosvezető</t>
  </si>
  <si>
    <t>fényes, dohányszag, de rendezett, szocialista bútorok, két nyugdíjas</t>
  </si>
  <si>
    <t>barátnője háza, akit gondoz, ingyen él ott</t>
  </si>
  <si>
    <t>LJSA02</t>
  </si>
  <si>
    <t>műszaki rajz szerkesztő, rajzoló</t>
  </si>
  <si>
    <t>Népszínház 26.</t>
  </si>
  <si>
    <t>szűkös nagymama lakás</t>
  </si>
  <si>
    <t>kis üzletek, cipőbolt, posta hiányoznak neki. sok változáson ment át ő is, az utca is, siratta a múltat</t>
  </si>
  <si>
    <t>LJSA03</t>
  </si>
  <si>
    <t>masszőr</t>
  </si>
  <si>
    <t>Népszínház 34.</t>
  </si>
  <si>
    <t xml:space="preserve">egyszerű rendezett lakás 2 kutyával </t>
  </si>
  <si>
    <t>LJSA04</t>
  </si>
  <si>
    <t>Császár</t>
  </si>
  <si>
    <t>LJSA05</t>
  </si>
  <si>
    <t>a férje munkanélküli, egyszerű letisztult, kicsi lakás</t>
  </si>
  <si>
    <t>MZGC01</t>
  </si>
  <si>
    <t>Major Zsuzsanna</t>
  </si>
  <si>
    <t>önkormányzati bérlet</t>
  </si>
  <si>
    <t>nyugdíjas, ápoló</t>
  </si>
  <si>
    <t>összeszedett, rendezett lakás, családias</t>
  </si>
  <si>
    <t>MZGC02</t>
  </si>
  <si>
    <t>könyvelő</t>
  </si>
  <si>
    <t>ODGB01</t>
  </si>
  <si>
    <t>operatőr</t>
  </si>
  <si>
    <t>felújított, alter, fife, plakátok, növények mac képernyő</t>
  </si>
  <si>
    <t>nagyon érdeklődött a kutatás iránt, barátkozó volt</t>
  </si>
  <si>
    <t>OMDB01</t>
  </si>
  <si>
    <t>Óvári Márton</t>
  </si>
  <si>
    <t>szocmunkás</t>
  </si>
  <si>
    <t xml:space="preserve">tiszta, rendezett lakás, gyakran használt eszközök újak. </t>
  </si>
  <si>
    <t>van egy macskája</t>
  </si>
  <si>
    <t>OMDE01</t>
  </si>
  <si>
    <t>kaotikus (sokan laknak kis helyen: 4 ember, 3 fiatal és 1 keresű korú)</t>
  </si>
  <si>
    <t>rezsi 50e kb. (VI)</t>
  </si>
  <si>
    <t>OMDE02</t>
  </si>
  <si>
    <t>tolmács, idegenvezető, külker üzletkötő</t>
  </si>
  <si>
    <t>Szófia</t>
  </si>
  <si>
    <t>Külföld</t>
  </si>
  <si>
    <t>OMLJ01</t>
  </si>
  <si>
    <t>kórházi gondnok</t>
  </si>
  <si>
    <t>Népszínház 11.</t>
  </si>
  <si>
    <t>jó életkörülmények, nagypolgári lakás</t>
  </si>
  <si>
    <t>a felesége a közös képviselő</t>
  </si>
  <si>
    <t>OMLJ02</t>
  </si>
  <si>
    <t>Közalkalmazott, egyetemen tanul</t>
  </si>
  <si>
    <t>Kecskemét</t>
  </si>
  <si>
    <t>kovacsmilan90@gmail.com</t>
  </si>
  <si>
    <t>nem engedett be a lakásba, az interjú a gangon készült</t>
  </si>
  <si>
    <t>OMMZ01</t>
  </si>
  <si>
    <t>Major Zsuzsi</t>
  </si>
  <si>
    <t>17:38- nál azt mondja, hogy nincs utcai ablaka (VI) JAVÍTVA</t>
  </si>
  <si>
    <t>OMMZ02</t>
  </si>
  <si>
    <t>optikus üzletvezető, államigazgatás</t>
  </si>
  <si>
    <t>Azt mondja, hogy nem probléma a lakhatási kiadások fedezése (VI) (JAVÍTVA)</t>
  </si>
  <si>
    <t>PCDB01</t>
  </si>
  <si>
    <t>szociális munkás</t>
  </si>
  <si>
    <t>zsúfolt, tele kacattal, régies konyha</t>
  </si>
  <si>
    <t>elvált nehezen jön ki a pénzéből</t>
  </si>
  <si>
    <t>PCGB01</t>
  </si>
  <si>
    <t>a postán interjúztunk</t>
  </si>
  <si>
    <t>valszeg kettős származás, tökéletesen beszél magyarul, de a neve és sok angol szó használata, illetve a kiejtése is utal arra, hogy nem csak a magyar az elsődleges nyelve</t>
  </si>
  <si>
    <t>PCMZ01</t>
  </si>
  <si>
    <t>táncművész</t>
  </si>
  <si>
    <t>csanad.kovats@gmail.com</t>
  </si>
  <si>
    <t>rendezett környezet, az anyjával él, kulturális életet él, nyitottak</t>
  </si>
  <si>
    <t>PCMZ02</t>
  </si>
  <si>
    <t>előadóművész</t>
  </si>
  <si>
    <t>csaba.derby@gmail.com</t>
  </si>
  <si>
    <t>kulturált lakás, ritkán használja az utcát</t>
  </si>
  <si>
    <t>PCSA01</t>
  </si>
  <si>
    <t>targoncás, kereskedelem</t>
  </si>
  <si>
    <t>Nyitott új dolgokra, jól megél. 1952 és 76 között a 8. kerületben élt (itt született) majd elköltözött és aztán visszaköltözött a kerületbe 2000ben</t>
  </si>
  <si>
    <t>PCSA02</t>
  </si>
  <si>
    <t>vállalkozó, kávézó</t>
  </si>
  <si>
    <t>Vác</t>
  </si>
  <si>
    <t>zsúfolt lakás, de jó körülmények</t>
  </si>
  <si>
    <t>SL01</t>
  </si>
  <si>
    <t>nyugdíjas, főkönyvelő</t>
  </si>
  <si>
    <t>Van egy fényképe, ami 1916-ban készült a házról és látszódik rajta, hogy a homlokzaton 4 oszlop van, ami a 4 évszakot ábrázolja. 1957-ben felújították a házat, és leverték a szobrokat. A hozzá legközelebb lévő szobrot azért döntötték le, mert a bal térdkalácsába befészkelt egy galamb, és ahelyett, hogy kijavították volna, ledöntötték az egészet.</t>
  </si>
  <si>
    <t>SLOD01</t>
  </si>
  <si>
    <t>Népszínház 47.</t>
  </si>
  <si>
    <t>jól szituált, rendezett, tiszta lakás, cuki fehér cica</t>
  </si>
  <si>
    <t>SLOD02</t>
  </si>
  <si>
    <t>kevesebb, mint 8 osztály</t>
  </si>
  <si>
    <t>Nagyon nehezen</t>
  </si>
  <si>
    <t>a párja intézte a lakást, ő gazdálkodik a jövedelmükkel</t>
  </si>
  <si>
    <t>TBJR01</t>
  </si>
  <si>
    <t>kerékpárszerelő</t>
  </si>
  <si>
    <t>rendezett, jó állapotú gépesített (mosogatógép), sok könyv</t>
  </si>
  <si>
    <t>feketén is dolgozik jövedelemkiegészítésként, ezt vsz nem számolta bele a 13. kérdésnél</t>
  </si>
  <si>
    <t>mikor a végzettséget kérdeztük, somlyogva válaszolt, illetve a volt foglalkozására irányuló kérdésnél is</t>
  </si>
  <si>
    <t>TBOD01</t>
  </si>
  <si>
    <t>egyéni vállalkozóként családfakutató, korábban levéltáros, szabadúszó várostörténész</t>
  </si>
  <si>
    <t>nem voltak a lakásban, állatíólag 4000 könyve van, pici a lakása, nagyon zsúfolt, azért nem ott nem interjúztak mert nem tudta volna őket leültetni mert nincs hely, lexikon az ember, nem hagy helyet interakciónak, nem veled hanem "rád" beszél</t>
  </si>
  <si>
    <t>TBSA01</t>
  </si>
  <si>
    <t>reptéri dolgozó</t>
  </si>
  <si>
    <t>nemrég költözött (1 hónapja), ennek a nyomai látszódtak, rendezetlen</t>
  </si>
  <si>
    <t>TBSA02</t>
  </si>
  <si>
    <t>biztonsági vezető</t>
  </si>
  <si>
    <t>rendezett, szép lakás, modern berendezés, kutyával</t>
  </si>
  <si>
    <t>TBSA03</t>
  </si>
  <si>
    <t>cipész</t>
  </si>
  <si>
    <t>rendezett, sötét</t>
  </si>
  <si>
    <t>a fia nemrég odaköltözött hozzá</t>
  </si>
  <si>
    <t>Kód</t>
  </si>
  <si>
    <t>Kódkategória</t>
  </si>
  <si>
    <t>Kód konkrétan</t>
  </si>
  <si>
    <t>Anyagi</t>
  </si>
  <si>
    <t>Ideköltözés okai és körülményei</t>
  </si>
  <si>
    <t>Kulturális</t>
  </si>
  <si>
    <t>Munka / közlekedés</t>
  </si>
  <si>
    <t>Családi / személyes okok</t>
  </si>
  <si>
    <t>Vásárlás / boltok / szolgáltatások</t>
  </si>
  <si>
    <t>Utcahasználat (jelenleg)</t>
  </si>
  <si>
    <t>Szabadidő / szórakozás / vendéglátás</t>
  </si>
  <si>
    <t>Közösségi interakciók az utcán</t>
  </si>
  <si>
    <t>Közlekedési élmények</t>
  </si>
  <si>
    <t>Biztonságérzet</t>
  </si>
  <si>
    <t>Utcával kapcsolatos attitűdök</t>
  </si>
  <si>
    <t>Negatív</t>
  </si>
  <si>
    <t>Pozitív / Negatív</t>
  </si>
  <si>
    <t>Pozitív</t>
  </si>
  <si>
    <t>Közlekedés</t>
  </si>
  <si>
    <t>Utcán mit változtatna</t>
  </si>
  <si>
    <t>Infrastuktúra</t>
  </si>
  <si>
    <t>Vásárlás / boltok / szolgáltatások - változtatna</t>
  </si>
  <si>
    <t>Szabadidő / szórakozás / vendéglátás - változtatna</t>
  </si>
  <si>
    <t>Fizikai állapot / karbantartás</t>
  </si>
  <si>
    <t>Társasházak működése (jelenleg)</t>
  </si>
  <si>
    <t>Jövőkép az utcáról</t>
  </si>
  <si>
    <t>Érzelmi kötődés</t>
  </si>
  <si>
    <t>Tisztaság / rendezettség</t>
  </si>
  <si>
    <t>Biztonság</t>
  </si>
  <si>
    <t>Közösségi élet</t>
  </si>
  <si>
    <t>Lakóközösség változása</t>
  </si>
  <si>
    <t>Általános jövőkép</t>
  </si>
  <si>
    <t>Jövőkép a társasházról</t>
  </si>
  <si>
    <t>Lakóközösség szerepe</t>
  </si>
  <si>
    <t>Közös képviselet szerepe</t>
  </si>
  <si>
    <t>Jelenleg</t>
  </si>
  <si>
    <t>Önkormányzati szerep</t>
  </si>
  <si>
    <t>Jövőre - Társasháznál</t>
  </si>
  <si>
    <t>Jövőre - Utcánál</t>
  </si>
  <si>
    <t>Elhelyezkedés</t>
  </si>
  <si>
    <t>Lakhatási helyzet</t>
  </si>
  <si>
    <t>Komfortszint</t>
  </si>
  <si>
    <t>Nincs hatása</t>
  </si>
  <si>
    <t>Utcai fejlesztések értékelése</t>
  </si>
  <si>
    <t>Közös képviselet</t>
  </si>
  <si>
    <t>Lakóközösség cseréje</t>
  </si>
  <si>
    <t>Közbiztonság javítása</t>
  </si>
  <si>
    <t>Változtatná a társasházon</t>
  </si>
  <si>
    <t>Zöldítés</t>
  </si>
  <si>
    <t>Szociális ellátórendszer</t>
  </si>
  <si>
    <t>Tanulmányba / kiállíásra</t>
  </si>
  <si>
    <t>Izgalmas idézet</t>
  </si>
  <si>
    <t>Csak vicces</t>
  </si>
  <si>
    <t>Közös terek használata</t>
  </si>
  <si>
    <t>Társadalmi sokszínűség (etnikai / osztálybeli / más)</t>
  </si>
  <si>
    <t>Környezeti benyomások (zaj / szmog / más)</t>
  </si>
  <si>
    <t>Közterület használata</t>
  </si>
  <si>
    <t>Üzletek / szolgáltatások / vendéglátás</t>
  </si>
  <si>
    <t>Utca változásai</t>
  </si>
  <si>
    <t>Lakossági összetétel / közösségek</t>
  </si>
  <si>
    <t>Közbiztonság és közterületi viselkedés</t>
  </si>
  <si>
    <t>Fizikai környezet és utcakép változásai</t>
  </si>
  <si>
    <t>Kis zöldítések / torkollatok</t>
  </si>
  <si>
    <t>Pápa tér</t>
  </si>
  <si>
    <t>Blaha Lujza tér</t>
  </si>
  <si>
    <t>Négyes metró</t>
  </si>
  <si>
    <t>Teleki tér</t>
  </si>
  <si>
    <t>Tisztaság / rendezettség javítása</t>
  </si>
  <si>
    <t>Összesen</t>
  </si>
  <si>
    <t>Pozitív érzelmek átlagos aránya</t>
  </si>
  <si>
    <t>Érzelmek száma (pozitív + negatív)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</si>
</sst>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/>
    <xf numFmtId="0" fontId="0" fillId="0" borderId="0" xfId="0"/>
    <xf numFmtId="9" fontId="0" fillId="0" borderId="0" xfId="1" applyFont="1"/>
    <xf numFmtId="0" fontId="3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9" fontId="0" fillId="0" borderId="2" xfId="1" applyFont="1" applyBorder="1"/>
    <xf numFmtId="9" fontId="0" fillId="0" borderId="3" xfId="1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9" fontId="0" fillId="0" borderId="0" xfId="1" applyFont="1" applyBorder="1"/>
    <xf numFmtId="9" fontId="0" fillId="0" borderId="5" xfId="1" applyFont="1" applyBorder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9" fontId="0" fillId="0" borderId="7" xfId="1" applyFont="1" applyBorder="1"/>
    <xf numFmtId="9" fontId="0" fillId="0" borderId="8" xfId="1" applyFont="1" applyBorder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57"/>
  <sheetViews>
    <sheetView topLeftCell="BS1" workbookViewId="0">
      <selection activeCell="CC35" sqref="CC35"/>
    </sheetView>
  </sheetViews>
  <sheetFormatPr defaultRowHeight="15" x14ac:dyDescent="0.25"/>
  <cols>
    <col min="42" max="42" width="6.5703125" customWidth="1"/>
    <col min="94" max="94" width="12" customWidth="1"/>
  </cols>
  <sheetData>
    <row r="1" spans="1:9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x14ac:dyDescent="0.25">
      <c r="A2" t="s">
        <v>95</v>
      </c>
      <c r="B2" t="s">
        <v>96</v>
      </c>
      <c r="C2" t="s">
        <v>97</v>
      </c>
      <c r="D2">
        <v>1960</v>
      </c>
      <c r="E2" t="s">
        <v>98</v>
      </c>
      <c r="F2" t="s">
        <v>99</v>
      </c>
      <c r="G2" t="s">
        <v>100</v>
      </c>
      <c r="H2">
        <v>2</v>
      </c>
      <c r="I2">
        <v>0</v>
      </c>
      <c r="K2" t="s">
        <v>101</v>
      </c>
      <c r="L2" t="s">
        <v>102</v>
      </c>
      <c r="M2">
        <v>2015</v>
      </c>
      <c r="N2">
        <v>2015</v>
      </c>
      <c r="O2" t="s">
        <v>103</v>
      </c>
      <c r="P2">
        <v>7</v>
      </c>
      <c r="Q2" t="s">
        <v>104</v>
      </c>
      <c r="R2">
        <v>63000</v>
      </c>
      <c r="S2">
        <v>63000</v>
      </c>
      <c r="V2">
        <v>450000</v>
      </c>
      <c r="W2" t="s">
        <v>105</v>
      </c>
      <c r="X2" t="s">
        <v>106</v>
      </c>
      <c r="Y2">
        <v>2</v>
      </c>
      <c r="AA2" t="s">
        <v>107</v>
      </c>
      <c r="AB2" t="s">
        <v>108</v>
      </c>
      <c r="AC2">
        <v>32</v>
      </c>
      <c r="AE2" t="s">
        <v>109</v>
      </c>
      <c r="AF2">
        <v>0.14000000000000001</v>
      </c>
      <c r="AG2" t="b">
        <v>0</v>
      </c>
      <c r="AH2">
        <v>225000</v>
      </c>
      <c r="AI2" t="s">
        <v>110</v>
      </c>
      <c r="AJ2" t="s">
        <v>111</v>
      </c>
      <c r="AK2" t="s">
        <v>112</v>
      </c>
      <c r="AL2">
        <v>31500</v>
      </c>
      <c r="AM2" t="s">
        <v>113</v>
      </c>
      <c r="AN2" t="s">
        <v>114</v>
      </c>
      <c r="AO2" t="s">
        <v>115</v>
      </c>
      <c r="AP2">
        <v>1</v>
      </c>
      <c r="AQ2">
        <v>2</v>
      </c>
      <c r="AR2">
        <v>6</v>
      </c>
      <c r="AS2">
        <v>1</v>
      </c>
      <c r="AT2">
        <v>4</v>
      </c>
      <c r="AU2">
        <v>1</v>
      </c>
      <c r="AV2">
        <v>2</v>
      </c>
      <c r="AW2">
        <v>2</v>
      </c>
      <c r="AX2">
        <v>2</v>
      </c>
      <c r="AY2">
        <v>1</v>
      </c>
      <c r="AZ2">
        <v>2</v>
      </c>
      <c r="BA2">
        <v>2</v>
      </c>
      <c r="BB2">
        <v>1</v>
      </c>
      <c r="BC2">
        <v>1</v>
      </c>
      <c r="BD2">
        <v>2</v>
      </c>
      <c r="BE2">
        <v>1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</row>
    <row r="3" spans="1:95" x14ac:dyDescent="0.25">
      <c r="A3" t="s">
        <v>116</v>
      </c>
      <c r="B3" t="s">
        <v>117</v>
      </c>
      <c r="C3" t="s">
        <v>118</v>
      </c>
      <c r="D3">
        <v>1971</v>
      </c>
      <c r="E3" t="s">
        <v>98</v>
      </c>
      <c r="F3" t="s">
        <v>99</v>
      </c>
      <c r="G3" t="s">
        <v>100</v>
      </c>
      <c r="H3">
        <v>2</v>
      </c>
      <c r="I3">
        <v>0</v>
      </c>
      <c r="J3">
        <v>105</v>
      </c>
      <c r="K3" t="s">
        <v>101</v>
      </c>
      <c r="L3" t="s">
        <v>119</v>
      </c>
      <c r="M3">
        <v>2021</v>
      </c>
      <c r="N3">
        <v>2021</v>
      </c>
      <c r="O3" t="s">
        <v>103</v>
      </c>
      <c r="P3">
        <v>2</v>
      </c>
      <c r="Q3" t="s">
        <v>120</v>
      </c>
      <c r="R3">
        <v>352000</v>
      </c>
      <c r="S3">
        <v>132000</v>
      </c>
      <c r="U3">
        <v>220000</v>
      </c>
      <c r="V3">
        <v>1800000</v>
      </c>
      <c r="W3" t="s">
        <v>121</v>
      </c>
      <c r="X3" t="s">
        <v>122</v>
      </c>
      <c r="Y3">
        <v>4</v>
      </c>
      <c r="AA3" t="s">
        <v>123</v>
      </c>
      <c r="AB3" t="s">
        <v>124</v>
      </c>
      <c r="AC3">
        <v>69</v>
      </c>
      <c r="AE3" t="s">
        <v>125</v>
      </c>
      <c r="AF3">
        <v>0.19555555555555559</v>
      </c>
      <c r="AG3" t="b">
        <v>0</v>
      </c>
      <c r="AH3">
        <v>900000</v>
      </c>
      <c r="AI3" t="s">
        <v>110</v>
      </c>
      <c r="AJ3" t="s">
        <v>111</v>
      </c>
      <c r="AK3" t="s">
        <v>112</v>
      </c>
      <c r="AL3">
        <v>176000</v>
      </c>
      <c r="AM3" t="s">
        <v>126</v>
      </c>
      <c r="AN3" t="s">
        <v>127</v>
      </c>
      <c r="AO3" t="s">
        <v>128</v>
      </c>
      <c r="AP3">
        <v>1</v>
      </c>
      <c r="AQ3">
        <v>19</v>
      </c>
      <c r="AR3">
        <v>12</v>
      </c>
      <c r="AS3">
        <v>2</v>
      </c>
      <c r="AT3">
        <v>1</v>
      </c>
      <c r="AU3">
        <v>3</v>
      </c>
      <c r="AV3">
        <v>3</v>
      </c>
      <c r="AW3">
        <v>1</v>
      </c>
      <c r="AX3">
        <v>3</v>
      </c>
      <c r="AY3">
        <v>0</v>
      </c>
      <c r="AZ3">
        <v>2</v>
      </c>
      <c r="BA3">
        <v>1</v>
      </c>
      <c r="BB3">
        <v>3</v>
      </c>
      <c r="BC3">
        <v>3</v>
      </c>
      <c r="BD3">
        <v>12</v>
      </c>
      <c r="BE3">
        <v>5</v>
      </c>
      <c r="BF3">
        <v>2</v>
      </c>
      <c r="BG3">
        <v>1</v>
      </c>
      <c r="BH3">
        <v>1</v>
      </c>
      <c r="BI3">
        <v>6</v>
      </c>
      <c r="BJ3">
        <v>1</v>
      </c>
      <c r="BK3">
        <v>1</v>
      </c>
      <c r="BL3">
        <v>1</v>
      </c>
      <c r="BM3">
        <v>2</v>
      </c>
      <c r="BN3">
        <v>1</v>
      </c>
      <c r="BO3">
        <v>1</v>
      </c>
      <c r="BP3">
        <v>2</v>
      </c>
      <c r="BQ3">
        <v>5</v>
      </c>
      <c r="BR3">
        <v>3</v>
      </c>
      <c r="BS3">
        <v>1</v>
      </c>
      <c r="BT3">
        <v>3</v>
      </c>
      <c r="BU3">
        <v>1</v>
      </c>
      <c r="BV3">
        <v>3</v>
      </c>
      <c r="BW3">
        <v>1</v>
      </c>
      <c r="BX3">
        <v>2</v>
      </c>
      <c r="BY3">
        <v>1</v>
      </c>
      <c r="BZ3">
        <v>1</v>
      </c>
      <c r="CA3">
        <v>2</v>
      </c>
      <c r="CB3">
        <v>6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</row>
    <row r="4" spans="1:95" x14ac:dyDescent="0.25">
      <c r="A4" t="s">
        <v>129</v>
      </c>
      <c r="B4" t="s">
        <v>118</v>
      </c>
      <c r="C4" t="s">
        <v>130</v>
      </c>
      <c r="D4">
        <v>2004</v>
      </c>
      <c r="E4" t="s">
        <v>98</v>
      </c>
      <c r="F4" t="s">
        <v>131</v>
      </c>
      <c r="G4" t="s">
        <v>132</v>
      </c>
      <c r="H4">
        <v>2</v>
      </c>
      <c r="I4">
        <v>0</v>
      </c>
      <c r="J4">
        <v>50</v>
      </c>
      <c r="K4" t="s">
        <v>133</v>
      </c>
      <c r="L4" t="s">
        <v>134</v>
      </c>
      <c r="M4">
        <v>2024</v>
      </c>
      <c r="N4">
        <v>2024</v>
      </c>
      <c r="O4" t="s">
        <v>135</v>
      </c>
      <c r="Q4" t="s">
        <v>136</v>
      </c>
      <c r="R4">
        <v>294000</v>
      </c>
      <c r="S4">
        <v>99000</v>
      </c>
      <c r="T4">
        <v>195000</v>
      </c>
      <c r="V4">
        <v>900000</v>
      </c>
      <c r="W4" t="s">
        <v>137</v>
      </c>
      <c r="X4" t="s">
        <v>138</v>
      </c>
      <c r="Y4">
        <v>3</v>
      </c>
      <c r="AA4" t="s">
        <v>139</v>
      </c>
      <c r="AC4">
        <v>49</v>
      </c>
      <c r="AE4" t="s">
        <v>140</v>
      </c>
      <c r="AF4">
        <v>0.32666666666666672</v>
      </c>
      <c r="AG4" t="b">
        <v>1</v>
      </c>
      <c r="AH4">
        <v>450000</v>
      </c>
      <c r="AI4" t="s">
        <v>141</v>
      </c>
      <c r="AJ4" t="s">
        <v>142</v>
      </c>
      <c r="AK4" t="s">
        <v>143</v>
      </c>
      <c r="AL4">
        <v>147000</v>
      </c>
      <c r="AM4" t="s">
        <v>144</v>
      </c>
      <c r="AN4" t="s">
        <v>145</v>
      </c>
      <c r="AO4" t="s">
        <v>128</v>
      </c>
      <c r="AP4">
        <v>1</v>
      </c>
      <c r="AQ4">
        <v>12</v>
      </c>
      <c r="AR4">
        <v>8</v>
      </c>
      <c r="AS4">
        <v>1</v>
      </c>
      <c r="AT4">
        <v>0</v>
      </c>
      <c r="AU4">
        <v>0</v>
      </c>
      <c r="AV4">
        <v>2</v>
      </c>
      <c r="AW4">
        <v>0</v>
      </c>
      <c r="AX4">
        <v>0</v>
      </c>
      <c r="AY4">
        <v>0</v>
      </c>
      <c r="AZ4">
        <v>3</v>
      </c>
      <c r="BA4">
        <v>0</v>
      </c>
      <c r="BB4">
        <v>7</v>
      </c>
      <c r="BC4">
        <v>2</v>
      </c>
      <c r="BD4">
        <v>7</v>
      </c>
      <c r="BE4">
        <v>0</v>
      </c>
      <c r="BF4">
        <v>0</v>
      </c>
      <c r="BG4">
        <v>0</v>
      </c>
      <c r="BH4">
        <v>0</v>
      </c>
      <c r="BI4">
        <v>2</v>
      </c>
      <c r="BJ4">
        <v>0</v>
      </c>
      <c r="BK4">
        <v>1</v>
      </c>
      <c r="BL4">
        <v>0</v>
      </c>
      <c r="BM4">
        <v>3</v>
      </c>
      <c r="BN4">
        <v>0</v>
      </c>
      <c r="BO4">
        <v>2</v>
      </c>
      <c r="BP4">
        <v>2</v>
      </c>
      <c r="BQ4">
        <v>2</v>
      </c>
      <c r="BR4">
        <v>0</v>
      </c>
      <c r="BS4">
        <v>1</v>
      </c>
      <c r="BT4">
        <v>0</v>
      </c>
      <c r="BU4">
        <v>0</v>
      </c>
      <c r="BV4">
        <v>1</v>
      </c>
      <c r="BW4">
        <v>0</v>
      </c>
      <c r="BX4">
        <v>0</v>
      </c>
      <c r="BY4">
        <v>0</v>
      </c>
      <c r="BZ4">
        <v>0</v>
      </c>
      <c r="CA4">
        <v>1</v>
      </c>
      <c r="CB4">
        <v>5</v>
      </c>
      <c r="CC4">
        <v>0</v>
      </c>
      <c r="CD4">
        <v>3</v>
      </c>
      <c r="CE4">
        <v>4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</row>
    <row r="5" spans="1:95" x14ac:dyDescent="0.25">
      <c r="A5" t="s">
        <v>146</v>
      </c>
      <c r="B5" t="s">
        <v>117</v>
      </c>
      <c r="C5" t="s">
        <v>147</v>
      </c>
      <c r="D5">
        <v>1996</v>
      </c>
      <c r="E5" t="s">
        <v>148</v>
      </c>
      <c r="F5" t="s">
        <v>131</v>
      </c>
      <c r="G5" t="s">
        <v>100</v>
      </c>
      <c r="H5">
        <v>3</v>
      </c>
      <c r="I5">
        <v>0</v>
      </c>
      <c r="J5">
        <v>58</v>
      </c>
      <c r="K5" t="s">
        <v>133</v>
      </c>
      <c r="L5" t="s">
        <v>149</v>
      </c>
      <c r="M5">
        <v>2017</v>
      </c>
      <c r="N5">
        <v>2018</v>
      </c>
      <c r="O5" t="s">
        <v>103</v>
      </c>
      <c r="P5">
        <v>8</v>
      </c>
      <c r="Q5" t="s">
        <v>150</v>
      </c>
      <c r="R5">
        <v>140000</v>
      </c>
      <c r="S5">
        <v>75000</v>
      </c>
      <c r="U5">
        <v>65000</v>
      </c>
      <c r="V5">
        <v>850000</v>
      </c>
      <c r="W5" t="s">
        <v>137</v>
      </c>
      <c r="X5" t="s">
        <v>151</v>
      </c>
      <c r="Y5">
        <v>0</v>
      </c>
      <c r="AA5" t="s">
        <v>152</v>
      </c>
      <c r="AC5">
        <v>49</v>
      </c>
      <c r="AE5" t="s">
        <v>140</v>
      </c>
      <c r="AF5">
        <v>0.1647058823529412</v>
      </c>
      <c r="AG5" t="b">
        <v>0</v>
      </c>
      <c r="AH5">
        <v>283333.33333333331</v>
      </c>
      <c r="AI5" t="s">
        <v>141</v>
      </c>
      <c r="AJ5" t="s">
        <v>142</v>
      </c>
      <c r="AK5" t="s">
        <v>112</v>
      </c>
      <c r="AL5">
        <v>46666.666666666657</v>
      </c>
      <c r="AM5" t="s">
        <v>126</v>
      </c>
      <c r="AN5" t="s">
        <v>127</v>
      </c>
      <c r="AO5" t="s">
        <v>115</v>
      </c>
      <c r="AP5">
        <v>0</v>
      </c>
      <c r="AQ5">
        <v>15</v>
      </c>
      <c r="AR5">
        <v>13</v>
      </c>
      <c r="AS5">
        <v>2</v>
      </c>
      <c r="AT5">
        <v>2</v>
      </c>
      <c r="AU5">
        <v>5</v>
      </c>
      <c r="AV5">
        <v>5</v>
      </c>
      <c r="AW5">
        <v>1</v>
      </c>
      <c r="AX5">
        <v>0</v>
      </c>
      <c r="AY5">
        <v>0</v>
      </c>
      <c r="AZ5">
        <v>4</v>
      </c>
      <c r="BA5">
        <v>2</v>
      </c>
      <c r="BB5">
        <v>6</v>
      </c>
      <c r="BC5">
        <v>0</v>
      </c>
      <c r="BD5">
        <v>8</v>
      </c>
      <c r="BE5">
        <v>5</v>
      </c>
      <c r="BF5">
        <v>1</v>
      </c>
      <c r="BG5">
        <v>1</v>
      </c>
      <c r="BH5">
        <v>0</v>
      </c>
      <c r="BI5">
        <v>2</v>
      </c>
      <c r="BJ5">
        <v>0</v>
      </c>
      <c r="BK5">
        <v>2</v>
      </c>
      <c r="BL5">
        <v>0</v>
      </c>
      <c r="BM5">
        <v>2</v>
      </c>
      <c r="BN5">
        <v>0</v>
      </c>
      <c r="BO5">
        <v>0</v>
      </c>
      <c r="BP5">
        <v>5</v>
      </c>
      <c r="BQ5">
        <v>4</v>
      </c>
      <c r="BR5">
        <v>1</v>
      </c>
      <c r="BS5">
        <v>1</v>
      </c>
      <c r="BT5">
        <v>0</v>
      </c>
      <c r="BU5">
        <v>0</v>
      </c>
      <c r="BV5">
        <v>2</v>
      </c>
      <c r="BW5">
        <v>3</v>
      </c>
      <c r="BX5">
        <v>2</v>
      </c>
      <c r="BY5">
        <v>1</v>
      </c>
      <c r="BZ5">
        <v>0</v>
      </c>
      <c r="CA5">
        <v>3</v>
      </c>
      <c r="CB5">
        <v>1</v>
      </c>
      <c r="CC5">
        <v>2</v>
      </c>
      <c r="CD5">
        <v>2</v>
      </c>
      <c r="CE5">
        <v>0</v>
      </c>
      <c r="CF5">
        <v>0</v>
      </c>
      <c r="CG5">
        <v>1</v>
      </c>
      <c r="CH5">
        <v>3</v>
      </c>
      <c r="CI5">
        <v>1</v>
      </c>
      <c r="CJ5">
        <v>1</v>
      </c>
      <c r="CK5">
        <v>1</v>
      </c>
      <c r="CL5">
        <v>3</v>
      </c>
      <c r="CM5">
        <v>0</v>
      </c>
      <c r="CN5">
        <v>0</v>
      </c>
      <c r="CO5">
        <v>0</v>
      </c>
      <c r="CP5">
        <v>0</v>
      </c>
      <c r="CQ5">
        <v>0</v>
      </c>
    </row>
    <row r="6" spans="1:95" x14ac:dyDescent="0.25">
      <c r="A6" t="s">
        <v>153</v>
      </c>
      <c r="B6" t="s">
        <v>117</v>
      </c>
      <c r="C6" t="s">
        <v>154</v>
      </c>
      <c r="D6">
        <v>1979</v>
      </c>
      <c r="E6" t="s">
        <v>148</v>
      </c>
      <c r="F6" t="s">
        <v>99</v>
      </c>
      <c r="G6" t="s">
        <v>100</v>
      </c>
      <c r="H6">
        <v>1</v>
      </c>
      <c r="I6">
        <v>0</v>
      </c>
      <c r="J6">
        <v>54</v>
      </c>
      <c r="K6" t="s">
        <v>133</v>
      </c>
      <c r="L6" t="s">
        <v>155</v>
      </c>
      <c r="M6">
        <v>2014</v>
      </c>
      <c r="N6">
        <v>2014</v>
      </c>
      <c r="O6" t="s">
        <v>103</v>
      </c>
      <c r="P6">
        <v>7</v>
      </c>
      <c r="Q6" t="s">
        <v>104</v>
      </c>
      <c r="R6">
        <v>200000</v>
      </c>
      <c r="S6">
        <v>100000</v>
      </c>
      <c r="U6">
        <v>100000</v>
      </c>
      <c r="V6">
        <v>575000</v>
      </c>
      <c r="W6" t="s">
        <v>156</v>
      </c>
      <c r="X6" t="s">
        <v>138</v>
      </c>
      <c r="Y6">
        <v>2</v>
      </c>
      <c r="AA6" t="s">
        <v>157</v>
      </c>
      <c r="AB6" t="s">
        <v>158</v>
      </c>
      <c r="AC6">
        <v>75</v>
      </c>
      <c r="AE6" t="s">
        <v>140</v>
      </c>
      <c r="AF6">
        <v>0.34782608695652167</v>
      </c>
      <c r="AG6" t="b">
        <v>1</v>
      </c>
      <c r="AH6">
        <v>575000</v>
      </c>
      <c r="AI6" t="s">
        <v>110</v>
      </c>
      <c r="AJ6" t="s">
        <v>159</v>
      </c>
      <c r="AK6" t="s">
        <v>112</v>
      </c>
      <c r="AL6">
        <v>200000</v>
      </c>
      <c r="AM6" t="s">
        <v>126</v>
      </c>
      <c r="AN6" t="s">
        <v>114</v>
      </c>
      <c r="AO6" t="s">
        <v>128</v>
      </c>
      <c r="AP6">
        <v>0</v>
      </c>
      <c r="AQ6">
        <v>29</v>
      </c>
      <c r="AR6">
        <v>4</v>
      </c>
      <c r="AS6">
        <v>4</v>
      </c>
      <c r="AT6">
        <v>2</v>
      </c>
      <c r="AU6">
        <v>3</v>
      </c>
      <c r="AV6">
        <v>3</v>
      </c>
      <c r="AW6">
        <v>3</v>
      </c>
      <c r="AX6">
        <v>2</v>
      </c>
      <c r="AY6">
        <v>1</v>
      </c>
      <c r="AZ6">
        <v>2</v>
      </c>
      <c r="BA6">
        <v>3</v>
      </c>
      <c r="BB6">
        <v>5</v>
      </c>
      <c r="BC6">
        <v>1</v>
      </c>
      <c r="BD6">
        <v>7</v>
      </c>
      <c r="BE6">
        <v>17</v>
      </c>
      <c r="BF6">
        <v>3</v>
      </c>
      <c r="BG6">
        <v>1</v>
      </c>
      <c r="BH6">
        <v>0</v>
      </c>
      <c r="BI6">
        <v>3</v>
      </c>
      <c r="BJ6">
        <v>2</v>
      </c>
      <c r="BK6">
        <v>1</v>
      </c>
      <c r="BL6">
        <v>3</v>
      </c>
      <c r="BM6">
        <v>3</v>
      </c>
      <c r="BN6">
        <v>0</v>
      </c>
      <c r="BO6">
        <v>0</v>
      </c>
      <c r="BP6">
        <v>4</v>
      </c>
      <c r="BQ6">
        <v>7</v>
      </c>
      <c r="BR6">
        <v>2</v>
      </c>
      <c r="BS6">
        <v>0</v>
      </c>
      <c r="BT6">
        <v>1</v>
      </c>
      <c r="BU6">
        <v>0</v>
      </c>
      <c r="BV6">
        <v>1</v>
      </c>
      <c r="BW6">
        <v>0</v>
      </c>
      <c r="BX6">
        <v>2</v>
      </c>
      <c r="BY6">
        <v>0</v>
      </c>
      <c r="BZ6">
        <v>1</v>
      </c>
      <c r="CA6">
        <v>5</v>
      </c>
      <c r="CB6">
        <v>9</v>
      </c>
      <c r="CC6">
        <v>0</v>
      </c>
      <c r="CD6">
        <v>2</v>
      </c>
      <c r="CE6">
        <v>3</v>
      </c>
      <c r="CF6">
        <v>5</v>
      </c>
      <c r="CG6">
        <v>0</v>
      </c>
      <c r="CH6">
        <v>0</v>
      </c>
      <c r="CI6">
        <v>0</v>
      </c>
      <c r="CJ6">
        <v>0</v>
      </c>
      <c r="CK6">
        <v>0</v>
      </c>
      <c r="CL6">
        <v>2</v>
      </c>
      <c r="CM6">
        <v>3</v>
      </c>
      <c r="CN6">
        <v>0</v>
      </c>
      <c r="CO6">
        <v>0</v>
      </c>
      <c r="CP6">
        <v>0</v>
      </c>
      <c r="CQ6">
        <v>0</v>
      </c>
    </row>
    <row r="7" spans="1:95" x14ac:dyDescent="0.25">
      <c r="A7" t="s">
        <v>160</v>
      </c>
      <c r="B7" t="s">
        <v>161</v>
      </c>
      <c r="C7" t="s">
        <v>162</v>
      </c>
      <c r="D7">
        <v>1949</v>
      </c>
      <c r="E7" t="s">
        <v>98</v>
      </c>
      <c r="F7" t="s">
        <v>99</v>
      </c>
      <c r="G7" t="s">
        <v>100</v>
      </c>
      <c r="H7">
        <v>1</v>
      </c>
      <c r="I7">
        <v>0</v>
      </c>
      <c r="J7">
        <v>75</v>
      </c>
      <c r="K7" t="s">
        <v>101</v>
      </c>
      <c r="L7" t="s">
        <v>163</v>
      </c>
      <c r="M7">
        <v>2012</v>
      </c>
      <c r="N7">
        <v>2012</v>
      </c>
      <c r="O7" t="s">
        <v>103</v>
      </c>
      <c r="P7">
        <v>7</v>
      </c>
      <c r="Q7" t="s">
        <v>104</v>
      </c>
      <c r="R7">
        <v>50000</v>
      </c>
      <c r="S7">
        <v>28000</v>
      </c>
      <c r="V7">
        <v>127000</v>
      </c>
      <c r="W7" t="s">
        <v>156</v>
      </c>
      <c r="X7" t="s">
        <v>106</v>
      </c>
      <c r="Y7">
        <v>5</v>
      </c>
      <c r="AA7" t="s">
        <v>164</v>
      </c>
      <c r="AB7" t="s">
        <v>165</v>
      </c>
      <c r="AC7">
        <v>33</v>
      </c>
      <c r="AE7" t="s">
        <v>109</v>
      </c>
      <c r="AF7">
        <v>0.39370078740157483</v>
      </c>
      <c r="AG7" t="b">
        <v>1</v>
      </c>
      <c r="AH7">
        <v>127000</v>
      </c>
      <c r="AI7" t="s">
        <v>110</v>
      </c>
      <c r="AJ7" t="s">
        <v>166</v>
      </c>
      <c r="AK7" t="s">
        <v>112</v>
      </c>
      <c r="AL7">
        <v>50000</v>
      </c>
      <c r="AM7" t="s">
        <v>113</v>
      </c>
      <c r="AN7" t="s">
        <v>114</v>
      </c>
      <c r="AO7" t="s">
        <v>167</v>
      </c>
      <c r="AP7">
        <v>1</v>
      </c>
      <c r="AQ7">
        <v>0</v>
      </c>
      <c r="AR7">
        <v>6</v>
      </c>
      <c r="AS7">
        <v>2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1</v>
      </c>
      <c r="BC7">
        <v>0</v>
      </c>
      <c r="BD7">
        <v>0</v>
      </c>
      <c r="BE7">
        <v>1</v>
      </c>
      <c r="BF7">
        <v>0</v>
      </c>
      <c r="BG7">
        <v>1</v>
      </c>
      <c r="BH7">
        <v>0</v>
      </c>
      <c r="BI7">
        <v>1</v>
      </c>
      <c r="BJ7">
        <v>1</v>
      </c>
      <c r="BK7">
        <v>1</v>
      </c>
      <c r="BL7">
        <v>0</v>
      </c>
      <c r="BM7">
        <v>0</v>
      </c>
      <c r="BN7">
        <v>0</v>
      </c>
      <c r="BO7">
        <v>1</v>
      </c>
      <c r="BP7">
        <v>0</v>
      </c>
      <c r="BQ7">
        <v>4</v>
      </c>
      <c r="BR7">
        <v>0</v>
      </c>
      <c r="BS7">
        <v>1</v>
      </c>
      <c r="BT7">
        <v>0</v>
      </c>
      <c r="BU7">
        <v>0</v>
      </c>
      <c r="BV7">
        <v>0</v>
      </c>
      <c r="BW7">
        <v>1</v>
      </c>
      <c r="BX7">
        <v>1</v>
      </c>
      <c r="BY7">
        <v>1</v>
      </c>
      <c r="BZ7">
        <v>0</v>
      </c>
      <c r="CA7">
        <v>1</v>
      </c>
      <c r="CB7">
        <v>1</v>
      </c>
      <c r="CC7">
        <v>1</v>
      </c>
      <c r="CD7">
        <v>0</v>
      </c>
      <c r="CE7">
        <v>0</v>
      </c>
      <c r="CF7">
        <v>0</v>
      </c>
      <c r="CG7">
        <v>1</v>
      </c>
      <c r="CH7">
        <v>2</v>
      </c>
      <c r="CI7">
        <v>0</v>
      </c>
      <c r="CJ7">
        <v>0</v>
      </c>
      <c r="CK7">
        <v>0</v>
      </c>
      <c r="CL7">
        <v>0</v>
      </c>
      <c r="CM7">
        <v>1</v>
      </c>
      <c r="CN7">
        <v>0</v>
      </c>
      <c r="CO7">
        <v>0</v>
      </c>
      <c r="CP7">
        <v>0</v>
      </c>
      <c r="CQ7">
        <v>0</v>
      </c>
    </row>
    <row r="8" spans="1:95" x14ac:dyDescent="0.25">
      <c r="A8" t="s">
        <v>168</v>
      </c>
      <c r="B8" t="s">
        <v>161</v>
      </c>
      <c r="C8" t="s">
        <v>162</v>
      </c>
      <c r="D8">
        <v>1958</v>
      </c>
      <c r="E8" t="s">
        <v>148</v>
      </c>
      <c r="F8" t="s">
        <v>99</v>
      </c>
      <c r="G8" t="s">
        <v>100</v>
      </c>
      <c r="H8">
        <v>2</v>
      </c>
      <c r="I8">
        <v>0</v>
      </c>
      <c r="J8">
        <v>100</v>
      </c>
      <c r="K8" t="s">
        <v>101</v>
      </c>
      <c r="L8" t="s">
        <v>169</v>
      </c>
      <c r="M8">
        <v>1990</v>
      </c>
      <c r="N8">
        <v>1990</v>
      </c>
      <c r="O8" t="s">
        <v>103</v>
      </c>
      <c r="P8">
        <v>3</v>
      </c>
      <c r="Q8" t="s">
        <v>120</v>
      </c>
      <c r="R8">
        <v>100000</v>
      </c>
      <c r="V8">
        <v>400000</v>
      </c>
      <c r="W8" t="s">
        <v>137</v>
      </c>
      <c r="X8" t="s">
        <v>106</v>
      </c>
      <c r="Y8">
        <v>3</v>
      </c>
      <c r="AA8" t="s">
        <v>170</v>
      </c>
      <c r="AC8">
        <v>40</v>
      </c>
      <c r="AE8" t="s">
        <v>109</v>
      </c>
      <c r="AF8">
        <v>0.25</v>
      </c>
      <c r="AG8" t="b">
        <v>0</v>
      </c>
      <c r="AH8">
        <v>200000</v>
      </c>
      <c r="AI8" t="s">
        <v>110</v>
      </c>
      <c r="AJ8" t="s">
        <v>166</v>
      </c>
      <c r="AK8" t="s">
        <v>112</v>
      </c>
      <c r="AL8">
        <v>50000</v>
      </c>
      <c r="AM8" t="s">
        <v>113</v>
      </c>
      <c r="AN8" t="s">
        <v>171</v>
      </c>
      <c r="AO8" t="s">
        <v>167</v>
      </c>
      <c r="AP8">
        <v>0</v>
      </c>
      <c r="AQ8">
        <v>10</v>
      </c>
      <c r="AR8">
        <v>9</v>
      </c>
      <c r="AS8">
        <v>1</v>
      </c>
      <c r="AT8">
        <v>1</v>
      </c>
      <c r="AU8">
        <v>0</v>
      </c>
      <c r="AV8">
        <v>4</v>
      </c>
      <c r="AW8">
        <v>0</v>
      </c>
      <c r="AX8">
        <v>0</v>
      </c>
      <c r="AY8">
        <v>1</v>
      </c>
      <c r="AZ8">
        <v>2</v>
      </c>
      <c r="BA8">
        <v>0</v>
      </c>
      <c r="BB8">
        <v>2</v>
      </c>
      <c r="BC8">
        <v>0</v>
      </c>
      <c r="BD8">
        <v>2</v>
      </c>
      <c r="BE8">
        <v>1</v>
      </c>
      <c r="BF8">
        <v>0</v>
      </c>
      <c r="BG8">
        <v>1</v>
      </c>
      <c r="BH8">
        <v>0</v>
      </c>
      <c r="BI8">
        <v>1</v>
      </c>
      <c r="BJ8">
        <v>2</v>
      </c>
      <c r="BK8">
        <v>1</v>
      </c>
      <c r="BL8">
        <v>1</v>
      </c>
      <c r="BM8">
        <v>0</v>
      </c>
      <c r="BN8">
        <v>1</v>
      </c>
      <c r="BO8">
        <v>1</v>
      </c>
      <c r="BP8">
        <v>0</v>
      </c>
      <c r="BQ8">
        <v>7</v>
      </c>
      <c r="BR8">
        <v>0</v>
      </c>
      <c r="BS8">
        <v>0</v>
      </c>
      <c r="BT8">
        <v>1</v>
      </c>
      <c r="BU8">
        <v>0</v>
      </c>
      <c r="BV8">
        <v>2</v>
      </c>
      <c r="BW8">
        <v>1</v>
      </c>
      <c r="BX8">
        <v>0</v>
      </c>
      <c r="BY8">
        <v>1</v>
      </c>
      <c r="BZ8">
        <v>3</v>
      </c>
      <c r="CA8">
        <v>0</v>
      </c>
      <c r="CB8">
        <v>0</v>
      </c>
      <c r="CC8">
        <v>2</v>
      </c>
      <c r="CD8">
        <v>0</v>
      </c>
      <c r="CE8">
        <v>0</v>
      </c>
      <c r="CF8">
        <v>0</v>
      </c>
      <c r="CG8">
        <v>1</v>
      </c>
      <c r="CH8">
        <v>0</v>
      </c>
      <c r="CI8">
        <v>0</v>
      </c>
      <c r="CJ8">
        <v>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</row>
    <row r="9" spans="1:95" x14ac:dyDescent="0.25">
      <c r="A9" t="s">
        <v>172</v>
      </c>
      <c r="B9" t="s">
        <v>162</v>
      </c>
      <c r="C9" t="s">
        <v>161</v>
      </c>
      <c r="D9">
        <v>1948</v>
      </c>
      <c r="E9" t="s">
        <v>98</v>
      </c>
      <c r="F9" t="s">
        <v>131</v>
      </c>
      <c r="G9" t="s">
        <v>100</v>
      </c>
      <c r="H9">
        <v>2</v>
      </c>
      <c r="I9">
        <v>0</v>
      </c>
      <c r="J9">
        <v>78</v>
      </c>
      <c r="K9" t="s">
        <v>101</v>
      </c>
      <c r="L9" t="s">
        <v>173</v>
      </c>
      <c r="M9">
        <v>1948</v>
      </c>
      <c r="N9">
        <v>1948</v>
      </c>
      <c r="Q9" t="s">
        <v>174</v>
      </c>
      <c r="R9">
        <v>75000</v>
      </c>
      <c r="S9">
        <v>75000</v>
      </c>
      <c r="V9">
        <v>340000</v>
      </c>
      <c r="W9" t="s">
        <v>137</v>
      </c>
      <c r="X9" t="s">
        <v>175</v>
      </c>
      <c r="Y9">
        <v>1</v>
      </c>
      <c r="AA9" t="s">
        <v>176</v>
      </c>
      <c r="AB9" t="s">
        <v>177</v>
      </c>
      <c r="AC9">
        <v>28</v>
      </c>
      <c r="AE9" t="s">
        <v>178</v>
      </c>
      <c r="AF9">
        <v>0.22058823529411761</v>
      </c>
      <c r="AG9" t="b">
        <v>0</v>
      </c>
      <c r="AH9">
        <v>170000</v>
      </c>
      <c r="AI9" t="s">
        <v>141</v>
      </c>
      <c r="AJ9" t="s">
        <v>166</v>
      </c>
      <c r="AK9" t="s">
        <v>112</v>
      </c>
      <c r="AL9">
        <v>37500</v>
      </c>
      <c r="AM9" t="s">
        <v>113</v>
      </c>
      <c r="AN9" t="s">
        <v>171</v>
      </c>
      <c r="AO9" t="s">
        <v>167</v>
      </c>
      <c r="AP9">
        <v>0</v>
      </c>
      <c r="AQ9">
        <v>6</v>
      </c>
      <c r="AR9">
        <v>5</v>
      </c>
      <c r="AS9">
        <v>1</v>
      </c>
      <c r="AT9">
        <v>0</v>
      </c>
      <c r="AU9">
        <v>0</v>
      </c>
      <c r="AV9">
        <v>0</v>
      </c>
      <c r="AW9">
        <v>1</v>
      </c>
      <c r="AX9">
        <v>2</v>
      </c>
      <c r="AY9">
        <v>2</v>
      </c>
      <c r="AZ9">
        <v>2</v>
      </c>
      <c r="BA9">
        <v>0</v>
      </c>
      <c r="BB9">
        <v>1</v>
      </c>
      <c r="BC9">
        <v>1</v>
      </c>
      <c r="BD9">
        <v>1</v>
      </c>
      <c r="BE9">
        <v>0</v>
      </c>
      <c r="BF9">
        <v>0</v>
      </c>
      <c r="BG9">
        <v>0</v>
      </c>
      <c r="BH9">
        <v>0</v>
      </c>
      <c r="BI9">
        <v>2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0</v>
      </c>
      <c r="BS9">
        <v>1</v>
      </c>
      <c r="BT9">
        <v>0</v>
      </c>
      <c r="BU9">
        <v>0</v>
      </c>
      <c r="BV9">
        <v>0</v>
      </c>
      <c r="BW9">
        <v>1</v>
      </c>
      <c r="BX9">
        <v>1</v>
      </c>
      <c r="BY9">
        <v>0</v>
      </c>
      <c r="BZ9">
        <v>2</v>
      </c>
      <c r="CA9">
        <v>0</v>
      </c>
      <c r="CB9">
        <v>1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1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</row>
    <row r="10" spans="1:95" x14ac:dyDescent="0.25">
      <c r="A10" t="s">
        <v>179</v>
      </c>
      <c r="B10" t="s">
        <v>162</v>
      </c>
      <c r="C10" t="s">
        <v>180</v>
      </c>
      <c r="D10">
        <v>1986</v>
      </c>
      <c r="E10" t="s">
        <v>148</v>
      </c>
      <c r="F10" t="s">
        <v>99</v>
      </c>
      <c r="G10" t="s">
        <v>100</v>
      </c>
      <c r="H10">
        <v>4</v>
      </c>
      <c r="I10">
        <v>2</v>
      </c>
      <c r="J10">
        <v>84</v>
      </c>
      <c r="K10" t="s">
        <v>101</v>
      </c>
      <c r="L10" t="s">
        <v>181</v>
      </c>
      <c r="M10">
        <v>2016</v>
      </c>
      <c r="N10">
        <v>2016</v>
      </c>
      <c r="O10" t="s">
        <v>103</v>
      </c>
      <c r="P10">
        <v>7</v>
      </c>
      <c r="Q10" t="s">
        <v>104</v>
      </c>
      <c r="R10">
        <v>75000</v>
      </c>
      <c r="S10">
        <v>75000</v>
      </c>
      <c r="V10">
        <v>1600000</v>
      </c>
      <c r="W10" t="s">
        <v>137</v>
      </c>
      <c r="X10" t="s">
        <v>106</v>
      </c>
      <c r="Y10">
        <v>4</v>
      </c>
      <c r="AA10" t="s">
        <v>182</v>
      </c>
      <c r="AB10" t="s">
        <v>183</v>
      </c>
      <c r="AC10">
        <v>37</v>
      </c>
      <c r="AE10" t="s">
        <v>109</v>
      </c>
      <c r="AF10">
        <v>4.6875E-2</v>
      </c>
      <c r="AG10" t="b">
        <v>0</v>
      </c>
      <c r="AH10">
        <v>400000</v>
      </c>
      <c r="AI10" t="s">
        <v>110</v>
      </c>
      <c r="AJ10" t="s">
        <v>159</v>
      </c>
      <c r="AK10" t="s">
        <v>112</v>
      </c>
      <c r="AL10">
        <v>18750</v>
      </c>
      <c r="AM10" t="s">
        <v>126</v>
      </c>
      <c r="AN10" t="s">
        <v>114</v>
      </c>
      <c r="AO10" t="s">
        <v>128</v>
      </c>
      <c r="AP10">
        <v>0</v>
      </c>
      <c r="AQ10">
        <v>2</v>
      </c>
      <c r="AR10">
        <v>8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2</v>
      </c>
      <c r="BA10">
        <v>5</v>
      </c>
      <c r="BB10">
        <v>1</v>
      </c>
      <c r="BC10">
        <v>0</v>
      </c>
      <c r="BD10">
        <v>2</v>
      </c>
      <c r="BE10">
        <v>0</v>
      </c>
      <c r="BF10">
        <v>1</v>
      </c>
      <c r="BG10">
        <v>1</v>
      </c>
      <c r="BH10">
        <v>0</v>
      </c>
      <c r="BI10">
        <v>1</v>
      </c>
      <c r="BJ10">
        <v>2</v>
      </c>
      <c r="BK10">
        <v>2</v>
      </c>
      <c r="BL10">
        <v>0</v>
      </c>
      <c r="BM10">
        <v>0</v>
      </c>
      <c r="BN10">
        <v>0</v>
      </c>
      <c r="BO10">
        <v>0</v>
      </c>
      <c r="BP10">
        <v>2</v>
      </c>
      <c r="BQ10">
        <v>3</v>
      </c>
      <c r="BR10">
        <v>1</v>
      </c>
      <c r="BS10">
        <v>1</v>
      </c>
      <c r="BT10">
        <v>0</v>
      </c>
      <c r="BU10">
        <v>0</v>
      </c>
      <c r="BV10">
        <v>0</v>
      </c>
      <c r="BW10">
        <v>2</v>
      </c>
      <c r="BX10">
        <v>0</v>
      </c>
      <c r="BY10">
        <v>0</v>
      </c>
      <c r="BZ10">
        <v>0</v>
      </c>
      <c r="CA10">
        <v>7</v>
      </c>
      <c r="CB10">
        <v>0</v>
      </c>
      <c r="CC10">
        <v>0</v>
      </c>
      <c r="CD10">
        <v>1</v>
      </c>
      <c r="CE10">
        <v>0</v>
      </c>
      <c r="CF10">
        <v>4</v>
      </c>
      <c r="CG10">
        <v>0</v>
      </c>
      <c r="CH10">
        <v>0</v>
      </c>
      <c r="CI10">
        <v>0</v>
      </c>
      <c r="CJ10">
        <v>0</v>
      </c>
      <c r="CK10">
        <v>2</v>
      </c>
      <c r="CL10">
        <v>4</v>
      </c>
      <c r="CM10">
        <v>0</v>
      </c>
      <c r="CN10">
        <v>1</v>
      </c>
      <c r="CO10">
        <v>3</v>
      </c>
      <c r="CP10">
        <v>0</v>
      </c>
      <c r="CQ10">
        <v>0</v>
      </c>
    </row>
    <row r="11" spans="1:95" x14ac:dyDescent="0.25">
      <c r="A11" t="s">
        <v>184</v>
      </c>
      <c r="B11" t="s">
        <v>185</v>
      </c>
      <c r="C11" t="s">
        <v>162</v>
      </c>
      <c r="D11">
        <v>1947</v>
      </c>
      <c r="E11" t="s">
        <v>148</v>
      </c>
      <c r="F11" t="s">
        <v>186</v>
      </c>
      <c r="G11" t="s">
        <v>187</v>
      </c>
      <c r="H11">
        <v>1</v>
      </c>
      <c r="I11">
        <v>0</v>
      </c>
      <c r="J11">
        <v>54</v>
      </c>
      <c r="K11" t="s">
        <v>101</v>
      </c>
      <c r="L11" t="s">
        <v>188</v>
      </c>
      <c r="M11">
        <v>2014</v>
      </c>
      <c r="N11">
        <v>2014</v>
      </c>
      <c r="O11" t="s">
        <v>103</v>
      </c>
      <c r="P11">
        <v>11</v>
      </c>
      <c r="Q11" t="s">
        <v>120</v>
      </c>
      <c r="R11">
        <v>80000</v>
      </c>
      <c r="S11">
        <v>80000</v>
      </c>
      <c r="W11" t="s">
        <v>137</v>
      </c>
      <c r="X11" t="s">
        <v>138</v>
      </c>
      <c r="Y11">
        <v>1</v>
      </c>
      <c r="AA11" t="s">
        <v>189</v>
      </c>
      <c r="AC11">
        <v>34</v>
      </c>
      <c r="AE11" t="s">
        <v>140</v>
      </c>
      <c r="AI11" t="s">
        <v>190</v>
      </c>
      <c r="AJ11" t="s">
        <v>166</v>
      </c>
      <c r="AK11" t="s">
        <v>143</v>
      </c>
      <c r="AL11">
        <v>80000</v>
      </c>
      <c r="AM11" t="s">
        <v>113</v>
      </c>
      <c r="AN11" t="s">
        <v>114</v>
      </c>
      <c r="AP11">
        <v>1</v>
      </c>
      <c r="AQ11">
        <v>7</v>
      </c>
      <c r="AR11">
        <v>3</v>
      </c>
      <c r="AS11">
        <v>1</v>
      </c>
      <c r="AT11">
        <v>1</v>
      </c>
      <c r="AU11">
        <v>0</v>
      </c>
      <c r="AV11">
        <v>0</v>
      </c>
      <c r="AW11">
        <v>1</v>
      </c>
      <c r="AX11">
        <v>1</v>
      </c>
      <c r="AY11">
        <v>2</v>
      </c>
      <c r="AZ11">
        <v>1</v>
      </c>
      <c r="BA11">
        <v>0</v>
      </c>
      <c r="BB11">
        <v>0</v>
      </c>
      <c r="BC11">
        <v>2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2</v>
      </c>
      <c r="BS11">
        <v>0</v>
      </c>
      <c r="BT11">
        <v>1</v>
      </c>
      <c r="BU11">
        <v>0</v>
      </c>
      <c r="BV11">
        <v>0</v>
      </c>
      <c r="BW11">
        <v>1</v>
      </c>
      <c r="BX11">
        <v>1</v>
      </c>
      <c r="BY11">
        <v>0</v>
      </c>
      <c r="BZ11">
        <v>0</v>
      </c>
      <c r="CA11">
        <v>1</v>
      </c>
      <c r="CB11">
        <v>1</v>
      </c>
      <c r="CC11">
        <v>0</v>
      </c>
      <c r="CD11">
        <v>0</v>
      </c>
      <c r="CE11">
        <v>0</v>
      </c>
      <c r="CF11">
        <v>2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</row>
    <row r="12" spans="1:95" x14ac:dyDescent="0.25">
      <c r="A12" t="s">
        <v>191</v>
      </c>
      <c r="B12" t="s">
        <v>185</v>
      </c>
      <c r="C12" t="s">
        <v>162</v>
      </c>
      <c r="D12">
        <v>1974</v>
      </c>
      <c r="E12" t="s">
        <v>98</v>
      </c>
      <c r="F12" t="s">
        <v>192</v>
      </c>
      <c r="G12" t="s">
        <v>132</v>
      </c>
      <c r="H12">
        <v>2</v>
      </c>
      <c r="I12">
        <v>0</v>
      </c>
      <c r="J12">
        <v>90</v>
      </c>
      <c r="K12" t="s">
        <v>101</v>
      </c>
      <c r="L12" t="s">
        <v>193</v>
      </c>
      <c r="M12">
        <v>2000</v>
      </c>
      <c r="N12">
        <v>2025</v>
      </c>
      <c r="O12" t="s">
        <v>103</v>
      </c>
      <c r="P12">
        <v>8</v>
      </c>
      <c r="Q12" t="s">
        <v>150</v>
      </c>
      <c r="R12">
        <v>330000</v>
      </c>
      <c r="S12">
        <v>120000</v>
      </c>
      <c r="T12">
        <v>210000</v>
      </c>
      <c r="V12">
        <v>560000</v>
      </c>
      <c r="W12" t="s">
        <v>156</v>
      </c>
      <c r="X12" t="s">
        <v>138</v>
      </c>
      <c r="Y12">
        <v>3</v>
      </c>
      <c r="AA12" t="s">
        <v>194</v>
      </c>
      <c r="AC12">
        <v>33</v>
      </c>
      <c r="AD12" t="s">
        <v>195</v>
      </c>
      <c r="AE12" t="s">
        <v>140</v>
      </c>
      <c r="AF12">
        <v>0.5892857142857143</v>
      </c>
      <c r="AG12" t="b">
        <v>1</v>
      </c>
      <c r="AH12">
        <v>280000</v>
      </c>
      <c r="AI12" t="s">
        <v>190</v>
      </c>
      <c r="AJ12" t="s">
        <v>111</v>
      </c>
      <c r="AK12" t="s">
        <v>143</v>
      </c>
      <c r="AL12">
        <v>165000</v>
      </c>
      <c r="AM12" t="s">
        <v>144</v>
      </c>
      <c r="AN12" t="s">
        <v>145</v>
      </c>
      <c r="AO12" t="s">
        <v>115</v>
      </c>
      <c r="AP12">
        <v>2</v>
      </c>
      <c r="AQ12">
        <v>2</v>
      </c>
      <c r="AR12">
        <v>4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1</v>
      </c>
      <c r="BO12">
        <v>1</v>
      </c>
      <c r="BP12">
        <v>0</v>
      </c>
      <c r="BQ12">
        <v>1</v>
      </c>
      <c r="BR12">
        <v>1</v>
      </c>
      <c r="BS12">
        <v>0</v>
      </c>
      <c r="BT12">
        <v>1</v>
      </c>
      <c r="BU12">
        <v>0</v>
      </c>
      <c r="BV12">
        <v>1</v>
      </c>
      <c r="BW12">
        <v>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1</v>
      </c>
      <c r="CF12">
        <v>2</v>
      </c>
      <c r="CG12">
        <v>1</v>
      </c>
      <c r="CH12">
        <v>0</v>
      </c>
      <c r="CI12">
        <v>0</v>
      </c>
      <c r="CJ12">
        <v>1</v>
      </c>
      <c r="CK12">
        <v>0</v>
      </c>
      <c r="CL12">
        <v>1</v>
      </c>
      <c r="CM12">
        <v>0</v>
      </c>
      <c r="CN12">
        <v>0</v>
      </c>
      <c r="CO12">
        <v>0</v>
      </c>
      <c r="CP12">
        <v>0</v>
      </c>
      <c r="CQ12">
        <v>0</v>
      </c>
    </row>
    <row r="13" spans="1:95" x14ac:dyDescent="0.25">
      <c r="A13" t="s">
        <v>196</v>
      </c>
      <c r="B13" t="s">
        <v>197</v>
      </c>
      <c r="C13" t="s">
        <v>185</v>
      </c>
      <c r="D13">
        <v>2005</v>
      </c>
      <c r="E13" t="s">
        <v>148</v>
      </c>
      <c r="F13" t="s">
        <v>198</v>
      </c>
      <c r="G13" t="s">
        <v>132</v>
      </c>
      <c r="H13">
        <v>1</v>
      </c>
      <c r="I13">
        <v>0</v>
      </c>
      <c r="J13">
        <v>18</v>
      </c>
      <c r="K13" t="s">
        <v>133</v>
      </c>
      <c r="L13" t="s">
        <v>199</v>
      </c>
      <c r="M13">
        <v>2023</v>
      </c>
      <c r="N13">
        <v>2025</v>
      </c>
      <c r="O13" t="s">
        <v>103</v>
      </c>
      <c r="P13">
        <v>4</v>
      </c>
      <c r="Q13" t="s">
        <v>104</v>
      </c>
      <c r="R13">
        <v>152000</v>
      </c>
      <c r="S13">
        <v>18000</v>
      </c>
      <c r="T13">
        <v>134000</v>
      </c>
      <c r="V13">
        <v>600000</v>
      </c>
      <c r="W13" t="s">
        <v>105</v>
      </c>
      <c r="X13" t="s">
        <v>122</v>
      </c>
      <c r="Y13">
        <v>0</v>
      </c>
      <c r="AA13" t="s">
        <v>200</v>
      </c>
      <c r="AB13" t="s">
        <v>201</v>
      </c>
      <c r="AC13">
        <v>37</v>
      </c>
      <c r="AD13" t="s">
        <v>202</v>
      </c>
      <c r="AE13" t="s">
        <v>125</v>
      </c>
      <c r="AF13">
        <v>0.25333333333333341</v>
      </c>
      <c r="AG13" t="b">
        <v>0</v>
      </c>
      <c r="AH13">
        <v>600000</v>
      </c>
      <c r="AI13" t="s">
        <v>141</v>
      </c>
      <c r="AJ13" t="s">
        <v>142</v>
      </c>
      <c r="AK13" t="s">
        <v>143</v>
      </c>
      <c r="AL13">
        <v>152000</v>
      </c>
      <c r="AM13" t="s">
        <v>144</v>
      </c>
      <c r="AN13" t="s">
        <v>145</v>
      </c>
      <c r="AO13" t="s">
        <v>128</v>
      </c>
      <c r="AP13">
        <v>0</v>
      </c>
      <c r="AQ13">
        <v>6</v>
      </c>
      <c r="AR13">
        <v>7</v>
      </c>
      <c r="AS13">
        <v>5</v>
      </c>
      <c r="AT13">
        <v>0</v>
      </c>
      <c r="AU13">
        <v>1</v>
      </c>
      <c r="AV13">
        <v>1</v>
      </c>
      <c r="AW13">
        <v>0</v>
      </c>
      <c r="AX13">
        <v>0</v>
      </c>
      <c r="AY13">
        <v>0</v>
      </c>
      <c r="AZ13">
        <v>1</v>
      </c>
      <c r="BA13">
        <v>2</v>
      </c>
      <c r="BB13">
        <v>2</v>
      </c>
      <c r="BC13">
        <v>0</v>
      </c>
      <c r="BD13">
        <v>4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2</v>
      </c>
      <c r="BL13">
        <v>0</v>
      </c>
      <c r="BM13">
        <v>0</v>
      </c>
      <c r="BN13">
        <v>3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2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0</v>
      </c>
      <c r="CQ13">
        <v>0</v>
      </c>
    </row>
    <row r="14" spans="1:95" x14ac:dyDescent="0.25">
      <c r="A14" t="s">
        <v>203</v>
      </c>
      <c r="B14" t="s">
        <v>185</v>
      </c>
      <c r="C14" t="s">
        <v>197</v>
      </c>
      <c r="D14">
        <v>1997</v>
      </c>
      <c r="E14" t="s">
        <v>148</v>
      </c>
      <c r="F14" t="s">
        <v>99</v>
      </c>
      <c r="G14" t="s">
        <v>132</v>
      </c>
      <c r="H14">
        <v>2</v>
      </c>
      <c r="I14">
        <v>0</v>
      </c>
      <c r="J14">
        <v>62</v>
      </c>
      <c r="K14" t="s">
        <v>133</v>
      </c>
      <c r="L14" t="s">
        <v>204</v>
      </c>
      <c r="M14">
        <v>2016</v>
      </c>
      <c r="N14">
        <v>2019</v>
      </c>
      <c r="O14" t="s">
        <v>103</v>
      </c>
      <c r="P14">
        <v>8</v>
      </c>
      <c r="Q14" t="s">
        <v>150</v>
      </c>
      <c r="R14">
        <v>200000</v>
      </c>
      <c r="S14">
        <v>40000</v>
      </c>
      <c r="T14">
        <v>160000</v>
      </c>
      <c r="V14">
        <v>650000</v>
      </c>
      <c r="W14" t="s">
        <v>105</v>
      </c>
      <c r="X14" t="s">
        <v>151</v>
      </c>
      <c r="Y14">
        <v>2</v>
      </c>
      <c r="AA14" t="s">
        <v>205</v>
      </c>
      <c r="AC14">
        <v>44</v>
      </c>
      <c r="AE14" t="s">
        <v>140</v>
      </c>
      <c r="AF14">
        <v>0.30769230769230771</v>
      </c>
      <c r="AG14" t="b">
        <v>1</v>
      </c>
      <c r="AH14">
        <v>325000</v>
      </c>
      <c r="AI14" t="s">
        <v>110</v>
      </c>
      <c r="AJ14" t="s">
        <v>142</v>
      </c>
      <c r="AK14" t="s">
        <v>143</v>
      </c>
      <c r="AL14">
        <v>100000</v>
      </c>
      <c r="AM14" t="s">
        <v>144</v>
      </c>
      <c r="AN14" t="s">
        <v>127</v>
      </c>
      <c r="AO14" t="s">
        <v>115</v>
      </c>
      <c r="AP14">
        <v>1</v>
      </c>
      <c r="AQ14">
        <v>10</v>
      </c>
      <c r="AR14">
        <v>3</v>
      </c>
      <c r="AS14">
        <v>2</v>
      </c>
      <c r="AT14">
        <v>2</v>
      </c>
      <c r="AU14">
        <v>2</v>
      </c>
      <c r="AV14">
        <v>0</v>
      </c>
      <c r="AW14">
        <v>1</v>
      </c>
      <c r="AX14">
        <v>3</v>
      </c>
      <c r="AY14">
        <v>1</v>
      </c>
      <c r="AZ14">
        <v>1</v>
      </c>
      <c r="BA14">
        <v>0</v>
      </c>
      <c r="BB14">
        <v>5</v>
      </c>
      <c r="BC14">
        <v>0</v>
      </c>
      <c r="BD14">
        <v>3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2</v>
      </c>
      <c r="BK14">
        <v>1</v>
      </c>
      <c r="BL14">
        <v>0</v>
      </c>
      <c r="BM14">
        <v>1</v>
      </c>
      <c r="BN14">
        <v>0</v>
      </c>
      <c r="BO14">
        <v>2</v>
      </c>
      <c r="BP14">
        <v>2</v>
      </c>
      <c r="BQ14">
        <v>5</v>
      </c>
      <c r="BR14">
        <v>3</v>
      </c>
      <c r="BS14">
        <v>1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1</v>
      </c>
      <c r="CA14">
        <v>2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2</v>
      </c>
      <c r="CP14">
        <v>0</v>
      </c>
      <c r="CQ14">
        <v>0</v>
      </c>
    </row>
    <row r="15" spans="1:95" x14ac:dyDescent="0.25">
      <c r="A15" t="s">
        <v>206</v>
      </c>
      <c r="B15" t="s">
        <v>207</v>
      </c>
      <c r="C15" t="s">
        <v>208</v>
      </c>
      <c r="D15">
        <v>2000</v>
      </c>
      <c r="E15" t="s">
        <v>148</v>
      </c>
      <c r="F15" t="s">
        <v>131</v>
      </c>
      <c r="G15" t="s">
        <v>100</v>
      </c>
      <c r="H15">
        <v>1</v>
      </c>
      <c r="I15">
        <v>0</v>
      </c>
      <c r="J15">
        <v>35</v>
      </c>
      <c r="K15" t="s">
        <v>133</v>
      </c>
      <c r="L15" t="s">
        <v>209</v>
      </c>
      <c r="M15">
        <v>2020</v>
      </c>
      <c r="N15">
        <v>2020</v>
      </c>
      <c r="O15" t="s">
        <v>103</v>
      </c>
      <c r="P15">
        <v>2</v>
      </c>
      <c r="Q15" t="s">
        <v>120</v>
      </c>
      <c r="R15">
        <v>30000</v>
      </c>
      <c r="S15">
        <v>30000</v>
      </c>
      <c r="V15">
        <v>310000</v>
      </c>
      <c r="W15" t="s">
        <v>137</v>
      </c>
      <c r="X15" t="s">
        <v>210</v>
      </c>
      <c r="Y15">
        <v>0</v>
      </c>
      <c r="AA15" t="s">
        <v>211</v>
      </c>
      <c r="AC15">
        <v>30</v>
      </c>
      <c r="AD15" t="s">
        <v>212</v>
      </c>
      <c r="AE15" t="s">
        <v>140</v>
      </c>
      <c r="AF15">
        <v>9.6774193548387094E-2</v>
      </c>
      <c r="AG15" t="b">
        <v>0</v>
      </c>
      <c r="AH15">
        <v>310000</v>
      </c>
      <c r="AI15" t="s">
        <v>141</v>
      </c>
      <c r="AJ15" t="s">
        <v>142</v>
      </c>
      <c r="AK15" t="s">
        <v>112</v>
      </c>
      <c r="AL15">
        <v>30000</v>
      </c>
      <c r="AM15" t="s">
        <v>126</v>
      </c>
      <c r="AN15" t="s">
        <v>127</v>
      </c>
      <c r="AO15" t="s">
        <v>115</v>
      </c>
      <c r="AP15">
        <v>1</v>
      </c>
      <c r="AQ15">
        <v>4</v>
      </c>
      <c r="AR15">
        <v>6</v>
      </c>
      <c r="AS15">
        <v>3</v>
      </c>
      <c r="AT15">
        <v>1</v>
      </c>
      <c r="AU15">
        <v>0</v>
      </c>
      <c r="AV15">
        <v>1</v>
      </c>
      <c r="AW15">
        <v>1</v>
      </c>
      <c r="AX15">
        <v>0</v>
      </c>
      <c r="AY15">
        <v>1</v>
      </c>
      <c r="AZ15">
        <v>1</v>
      </c>
      <c r="BA15">
        <v>0</v>
      </c>
      <c r="BB15">
        <v>1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1</v>
      </c>
      <c r="BJ15">
        <v>0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</v>
      </c>
      <c r="BR15">
        <v>0</v>
      </c>
      <c r="BS15">
        <v>0</v>
      </c>
      <c r="BT15">
        <v>1</v>
      </c>
      <c r="BU15">
        <v>0</v>
      </c>
      <c r="BV15">
        <v>1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1</v>
      </c>
      <c r="CF15">
        <v>0</v>
      </c>
      <c r="CG15">
        <v>0</v>
      </c>
      <c r="CH15">
        <v>3</v>
      </c>
      <c r="CI15">
        <v>1</v>
      </c>
      <c r="CJ15">
        <v>0</v>
      </c>
      <c r="CK15">
        <v>0</v>
      </c>
      <c r="CL15">
        <v>1</v>
      </c>
      <c r="CM15">
        <v>0</v>
      </c>
      <c r="CN15">
        <v>0</v>
      </c>
      <c r="CO15">
        <v>1</v>
      </c>
      <c r="CP15">
        <v>0</v>
      </c>
      <c r="CQ15">
        <v>0</v>
      </c>
    </row>
    <row r="16" spans="1:95" x14ac:dyDescent="0.25">
      <c r="A16" t="s">
        <v>213</v>
      </c>
      <c r="B16" t="s">
        <v>147</v>
      </c>
      <c r="C16" t="s">
        <v>185</v>
      </c>
      <c r="D16">
        <v>1990</v>
      </c>
      <c r="E16" t="s">
        <v>98</v>
      </c>
      <c r="F16" t="s">
        <v>99</v>
      </c>
      <c r="G16" t="s">
        <v>100</v>
      </c>
      <c r="H16">
        <v>2</v>
      </c>
      <c r="I16">
        <v>0</v>
      </c>
      <c r="J16">
        <v>61</v>
      </c>
      <c r="K16" t="s">
        <v>133</v>
      </c>
      <c r="L16" t="s">
        <v>214</v>
      </c>
      <c r="M16">
        <v>2014</v>
      </c>
      <c r="N16">
        <v>2014</v>
      </c>
      <c r="O16" t="s">
        <v>215</v>
      </c>
      <c r="Q16" t="s">
        <v>216</v>
      </c>
      <c r="R16">
        <v>60000</v>
      </c>
      <c r="S16">
        <v>60000</v>
      </c>
      <c r="W16" t="s">
        <v>105</v>
      </c>
      <c r="X16" t="s">
        <v>151</v>
      </c>
      <c r="Y16">
        <v>2</v>
      </c>
      <c r="AA16" t="s">
        <v>217</v>
      </c>
      <c r="AC16">
        <v>53</v>
      </c>
      <c r="AE16" t="s">
        <v>140</v>
      </c>
      <c r="AI16" t="s">
        <v>110</v>
      </c>
      <c r="AJ16" t="s">
        <v>159</v>
      </c>
      <c r="AK16" t="s">
        <v>112</v>
      </c>
      <c r="AL16">
        <v>30000</v>
      </c>
      <c r="AM16" t="s">
        <v>126</v>
      </c>
      <c r="AN16" t="s">
        <v>114</v>
      </c>
      <c r="AP16">
        <v>0</v>
      </c>
      <c r="AQ16">
        <v>8</v>
      </c>
      <c r="AR16">
        <v>26</v>
      </c>
      <c r="AS16">
        <v>2</v>
      </c>
      <c r="AT16">
        <v>2</v>
      </c>
      <c r="AU16">
        <v>0</v>
      </c>
      <c r="AV16">
        <v>4</v>
      </c>
      <c r="AW16">
        <v>2</v>
      </c>
      <c r="AX16">
        <v>1</v>
      </c>
      <c r="AY16">
        <v>2</v>
      </c>
      <c r="AZ16">
        <v>2</v>
      </c>
      <c r="BA16">
        <v>1</v>
      </c>
      <c r="BB16">
        <v>2</v>
      </c>
      <c r="BC16">
        <v>1</v>
      </c>
      <c r="BD16">
        <v>3</v>
      </c>
      <c r="BE16">
        <v>0</v>
      </c>
      <c r="BF16">
        <v>0</v>
      </c>
      <c r="BG16">
        <v>0</v>
      </c>
      <c r="BH16">
        <v>0</v>
      </c>
      <c r="BI16">
        <v>8</v>
      </c>
      <c r="BJ16">
        <v>0</v>
      </c>
      <c r="BK16">
        <v>4</v>
      </c>
      <c r="BL16">
        <v>0</v>
      </c>
      <c r="BM16">
        <v>2</v>
      </c>
      <c r="BN16">
        <v>3</v>
      </c>
      <c r="BO16">
        <v>1</v>
      </c>
      <c r="BP16">
        <v>1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4</v>
      </c>
      <c r="BW16">
        <v>5</v>
      </c>
      <c r="BX16">
        <v>4</v>
      </c>
      <c r="BY16">
        <v>2</v>
      </c>
      <c r="BZ16">
        <v>2</v>
      </c>
      <c r="CA16">
        <v>1</v>
      </c>
      <c r="CB16">
        <v>3</v>
      </c>
      <c r="CC16">
        <v>3</v>
      </c>
      <c r="CD16">
        <v>0</v>
      </c>
      <c r="CE16">
        <v>0</v>
      </c>
      <c r="CF16">
        <v>0</v>
      </c>
      <c r="CG16">
        <v>2</v>
      </c>
      <c r="CH16">
        <v>5</v>
      </c>
      <c r="CI16">
        <v>0</v>
      </c>
      <c r="CJ16">
        <v>0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</row>
    <row r="17" spans="1:95" x14ac:dyDescent="0.25">
      <c r="A17" t="s">
        <v>218</v>
      </c>
      <c r="B17" t="s">
        <v>147</v>
      </c>
      <c r="C17" t="s">
        <v>185</v>
      </c>
      <c r="D17">
        <v>1947</v>
      </c>
      <c r="E17" t="s">
        <v>98</v>
      </c>
      <c r="F17" t="s">
        <v>198</v>
      </c>
      <c r="G17" t="s">
        <v>187</v>
      </c>
      <c r="H17">
        <v>1</v>
      </c>
      <c r="I17">
        <v>0</v>
      </c>
      <c r="J17">
        <v>96</v>
      </c>
      <c r="K17" t="s">
        <v>101</v>
      </c>
      <c r="L17" t="s">
        <v>219</v>
      </c>
      <c r="M17">
        <v>1986</v>
      </c>
      <c r="N17">
        <v>1989</v>
      </c>
      <c r="O17" t="s">
        <v>220</v>
      </c>
      <c r="Q17" t="s">
        <v>216</v>
      </c>
      <c r="R17">
        <v>80000</v>
      </c>
      <c r="S17">
        <v>80000</v>
      </c>
      <c r="V17">
        <v>210000</v>
      </c>
      <c r="W17" t="s">
        <v>137</v>
      </c>
      <c r="X17" t="s">
        <v>210</v>
      </c>
      <c r="Y17">
        <v>4</v>
      </c>
      <c r="AC17">
        <v>74</v>
      </c>
      <c r="AE17" t="s">
        <v>140</v>
      </c>
      <c r="AF17">
        <v>0.38095238095238088</v>
      </c>
      <c r="AG17" t="b">
        <v>1</v>
      </c>
      <c r="AH17">
        <v>210000</v>
      </c>
      <c r="AI17" t="s">
        <v>141</v>
      </c>
      <c r="AJ17" t="s">
        <v>166</v>
      </c>
      <c r="AK17" t="s">
        <v>143</v>
      </c>
      <c r="AL17">
        <v>80000</v>
      </c>
      <c r="AM17" t="s">
        <v>113</v>
      </c>
      <c r="AN17" t="s">
        <v>171</v>
      </c>
      <c r="AO17" t="s">
        <v>115</v>
      </c>
      <c r="AP17">
        <v>0</v>
      </c>
      <c r="AQ17">
        <v>18</v>
      </c>
      <c r="AR17">
        <v>6</v>
      </c>
      <c r="AS17">
        <v>4</v>
      </c>
      <c r="AT17">
        <v>2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2</v>
      </c>
      <c r="BA17">
        <v>2</v>
      </c>
      <c r="BB17">
        <v>3</v>
      </c>
      <c r="BC17">
        <v>2</v>
      </c>
      <c r="BD17">
        <v>6</v>
      </c>
      <c r="BE17">
        <v>1</v>
      </c>
      <c r="BF17">
        <v>2</v>
      </c>
      <c r="BG17">
        <v>0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3</v>
      </c>
      <c r="BQ17">
        <v>2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1</v>
      </c>
      <c r="BX17">
        <v>2</v>
      </c>
      <c r="BY17">
        <v>1</v>
      </c>
      <c r="BZ17">
        <v>0</v>
      </c>
      <c r="CA17">
        <v>1</v>
      </c>
      <c r="CB17">
        <v>2</v>
      </c>
      <c r="CC17">
        <v>0</v>
      </c>
      <c r="CD17">
        <v>0</v>
      </c>
      <c r="CE17">
        <v>2</v>
      </c>
      <c r="CF17">
        <v>1</v>
      </c>
      <c r="CG17">
        <v>0</v>
      </c>
      <c r="CH17">
        <v>0</v>
      </c>
      <c r="CI17">
        <v>0</v>
      </c>
      <c r="CJ17">
        <v>2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</row>
    <row r="18" spans="1:95" x14ac:dyDescent="0.25">
      <c r="A18" t="s">
        <v>221</v>
      </c>
      <c r="B18" t="s">
        <v>118</v>
      </c>
      <c r="C18" t="s">
        <v>147</v>
      </c>
      <c r="D18">
        <v>2004</v>
      </c>
      <c r="E18" t="s">
        <v>98</v>
      </c>
      <c r="F18" t="s">
        <v>131</v>
      </c>
      <c r="G18" t="s">
        <v>132</v>
      </c>
      <c r="H18">
        <v>1</v>
      </c>
      <c r="I18">
        <v>0</v>
      </c>
      <c r="K18" t="s">
        <v>133</v>
      </c>
      <c r="L18" t="s">
        <v>222</v>
      </c>
      <c r="M18">
        <v>2024</v>
      </c>
      <c r="N18">
        <v>2024</v>
      </c>
      <c r="O18" t="s">
        <v>223</v>
      </c>
      <c r="Q18" t="s">
        <v>136</v>
      </c>
      <c r="R18">
        <v>258000</v>
      </c>
      <c r="S18">
        <v>30000</v>
      </c>
      <c r="T18">
        <v>228000</v>
      </c>
      <c r="V18">
        <v>300000</v>
      </c>
      <c r="W18" t="s">
        <v>121</v>
      </c>
      <c r="X18" t="s">
        <v>151</v>
      </c>
      <c r="Y18">
        <v>2</v>
      </c>
      <c r="AC18">
        <v>38</v>
      </c>
      <c r="AD18" t="s">
        <v>224</v>
      </c>
      <c r="AE18" t="s">
        <v>140</v>
      </c>
      <c r="AF18">
        <v>0.86</v>
      </c>
      <c r="AG18" t="b">
        <v>1</v>
      </c>
      <c r="AH18">
        <v>300000</v>
      </c>
      <c r="AI18" t="s">
        <v>141</v>
      </c>
      <c r="AJ18" t="s">
        <v>142</v>
      </c>
      <c r="AK18" t="s">
        <v>143</v>
      </c>
      <c r="AL18">
        <v>258000</v>
      </c>
      <c r="AM18" t="s">
        <v>144</v>
      </c>
      <c r="AN18" t="s">
        <v>145</v>
      </c>
      <c r="AO18" t="s">
        <v>115</v>
      </c>
      <c r="AP18">
        <v>1</v>
      </c>
      <c r="AQ18">
        <v>3</v>
      </c>
      <c r="AR18">
        <v>7</v>
      </c>
      <c r="AS18">
        <v>1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1</v>
      </c>
      <c r="BC18">
        <v>1</v>
      </c>
      <c r="BD18">
        <v>1</v>
      </c>
      <c r="BE18">
        <v>1</v>
      </c>
      <c r="BF18">
        <v>0</v>
      </c>
      <c r="BG18">
        <v>0</v>
      </c>
      <c r="BH18">
        <v>0</v>
      </c>
      <c r="BI18">
        <v>2</v>
      </c>
      <c r="BJ18">
        <v>0</v>
      </c>
      <c r="BK18">
        <v>1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1</v>
      </c>
      <c r="BR18">
        <v>0</v>
      </c>
      <c r="BS18">
        <v>1</v>
      </c>
      <c r="BT18">
        <v>0</v>
      </c>
      <c r="BU18">
        <v>1</v>
      </c>
      <c r="BV18">
        <v>3</v>
      </c>
      <c r="BW18">
        <v>1</v>
      </c>
      <c r="BX18">
        <v>1</v>
      </c>
      <c r="BY18">
        <v>1</v>
      </c>
      <c r="BZ18">
        <v>1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</row>
    <row r="19" spans="1:95" x14ac:dyDescent="0.25">
      <c r="A19" t="s">
        <v>225</v>
      </c>
      <c r="B19" t="s">
        <v>197</v>
      </c>
      <c r="C19" t="s">
        <v>226</v>
      </c>
      <c r="D19">
        <v>2001</v>
      </c>
      <c r="E19" t="s">
        <v>148</v>
      </c>
      <c r="F19" t="s">
        <v>99</v>
      </c>
      <c r="G19" t="s">
        <v>132</v>
      </c>
      <c r="H19">
        <v>1</v>
      </c>
      <c r="I19">
        <v>0</v>
      </c>
      <c r="J19">
        <v>80</v>
      </c>
      <c r="K19" t="s">
        <v>133</v>
      </c>
      <c r="L19" t="s">
        <v>227</v>
      </c>
      <c r="M19">
        <v>2025</v>
      </c>
      <c r="N19">
        <v>2025</v>
      </c>
      <c r="O19" t="s">
        <v>228</v>
      </c>
      <c r="P19">
        <v>9</v>
      </c>
      <c r="Q19" t="s">
        <v>104</v>
      </c>
      <c r="R19">
        <v>110000</v>
      </c>
      <c r="W19" t="s">
        <v>229</v>
      </c>
      <c r="X19" t="s">
        <v>230</v>
      </c>
      <c r="Y19">
        <v>3</v>
      </c>
      <c r="AA19" t="s">
        <v>231</v>
      </c>
      <c r="AB19" t="s">
        <v>232</v>
      </c>
      <c r="AC19">
        <v>36</v>
      </c>
      <c r="AD19" t="s">
        <v>224</v>
      </c>
      <c r="AE19" t="s">
        <v>125</v>
      </c>
      <c r="AI19" t="s">
        <v>110</v>
      </c>
      <c r="AJ19" t="s">
        <v>142</v>
      </c>
      <c r="AK19" t="s">
        <v>143</v>
      </c>
      <c r="AL19">
        <v>110000</v>
      </c>
      <c r="AM19" t="s">
        <v>144</v>
      </c>
      <c r="AN19" t="s">
        <v>145</v>
      </c>
      <c r="AP19">
        <v>0</v>
      </c>
      <c r="AQ19">
        <v>4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2</v>
      </c>
      <c r="BC19">
        <v>1</v>
      </c>
      <c r="BD19">
        <v>2</v>
      </c>
      <c r="BE19">
        <v>0</v>
      </c>
      <c r="BF19">
        <v>0</v>
      </c>
      <c r="BG19">
        <v>1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1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</row>
    <row r="20" spans="1:95" x14ac:dyDescent="0.25">
      <c r="A20" t="s">
        <v>233</v>
      </c>
      <c r="B20" t="s">
        <v>197</v>
      </c>
      <c r="C20" t="s">
        <v>226</v>
      </c>
      <c r="D20">
        <v>1995</v>
      </c>
      <c r="E20" t="s">
        <v>148</v>
      </c>
      <c r="F20" t="s">
        <v>99</v>
      </c>
      <c r="G20" t="s">
        <v>100</v>
      </c>
      <c r="H20">
        <v>1</v>
      </c>
      <c r="I20">
        <v>0</v>
      </c>
      <c r="J20">
        <v>60</v>
      </c>
      <c r="K20" t="s">
        <v>101</v>
      </c>
      <c r="L20" t="s">
        <v>234</v>
      </c>
      <c r="M20">
        <v>2025</v>
      </c>
      <c r="N20">
        <v>2025</v>
      </c>
      <c r="O20" t="s">
        <v>103</v>
      </c>
      <c r="P20">
        <v>9</v>
      </c>
      <c r="Q20" t="s">
        <v>104</v>
      </c>
      <c r="V20">
        <v>300000</v>
      </c>
      <c r="W20" t="s">
        <v>137</v>
      </c>
      <c r="X20" t="s">
        <v>235</v>
      </c>
      <c r="Y20">
        <v>1</v>
      </c>
      <c r="AA20" t="s">
        <v>236</v>
      </c>
      <c r="AC20">
        <v>31</v>
      </c>
      <c r="AE20" t="s">
        <v>140</v>
      </c>
      <c r="AH20">
        <v>300000</v>
      </c>
      <c r="AI20" t="s">
        <v>110</v>
      </c>
      <c r="AJ20" t="s">
        <v>142</v>
      </c>
      <c r="AK20" t="s">
        <v>112</v>
      </c>
      <c r="AM20" t="s">
        <v>126</v>
      </c>
      <c r="AN20" t="s">
        <v>145</v>
      </c>
      <c r="AO20" t="s">
        <v>115</v>
      </c>
      <c r="AP20">
        <v>0</v>
      </c>
      <c r="AQ20">
        <v>8</v>
      </c>
      <c r="AR20">
        <v>3</v>
      </c>
      <c r="AS20">
        <v>2</v>
      </c>
      <c r="AT20">
        <v>2</v>
      </c>
      <c r="AU20">
        <v>0</v>
      </c>
      <c r="AV20">
        <v>6</v>
      </c>
      <c r="AW20">
        <v>1</v>
      </c>
      <c r="AX20">
        <v>0</v>
      </c>
      <c r="AY20">
        <v>0</v>
      </c>
      <c r="AZ20">
        <v>1</v>
      </c>
      <c r="BA20">
        <v>0</v>
      </c>
      <c r="BB20">
        <v>7</v>
      </c>
      <c r="BC20">
        <v>0</v>
      </c>
      <c r="BD20">
        <v>5</v>
      </c>
      <c r="BE20">
        <v>0</v>
      </c>
      <c r="BF20">
        <v>2</v>
      </c>
      <c r="BG20">
        <v>1</v>
      </c>
      <c r="BH20">
        <v>0</v>
      </c>
      <c r="BI20">
        <v>0</v>
      </c>
      <c r="BJ20">
        <v>0</v>
      </c>
      <c r="BK20">
        <v>2</v>
      </c>
      <c r="BL20">
        <v>1</v>
      </c>
      <c r="BM20">
        <v>1</v>
      </c>
      <c r="BN20">
        <v>0</v>
      </c>
      <c r="BO20">
        <v>0</v>
      </c>
      <c r="BP20">
        <v>2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0</v>
      </c>
      <c r="BY20">
        <v>0</v>
      </c>
      <c r="BZ20">
        <v>0</v>
      </c>
      <c r="CA20">
        <v>1</v>
      </c>
      <c r="CB20">
        <v>1</v>
      </c>
      <c r="CC20">
        <v>0</v>
      </c>
      <c r="CD20">
        <v>4</v>
      </c>
      <c r="CE20">
        <v>0</v>
      </c>
      <c r="CF20">
        <v>0</v>
      </c>
      <c r="CG20">
        <v>1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</row>
    <row r="21" spans="1:95" x14ac:dyDescent="0.25">
      <c r="A21" t="s">
        <v>237</v>
      </c>
      <c r="B21" t="s">
        <v>197</v>
      </c>
      <c r="C21" t="s">
        <v>226</v>
      </c>
      <c r="D21">
        <v>1979</v>
      </c>
      <c r="E21" t="s">
        <v>148</v>
      </c>
      <c r="F21" t="s">
        <v>99</v>
      </c>
      <c r="G21" t="s">
        <v>100</v>
      </c>
      <c r="H21">
        <v>4</v>
      </c>
      <c r="I21">
        <v>2</v>
      </c>
      <c r="J21">
        <v>62</v>
      </c>
      <c r="K21" t="s">
        <v>133</v>
      </c>
      <c r="L21" t="s">
        <v>238</v>
      </c>
      <c r="M21">
        <v>2000</v>
      </c>
      <c r="N21">
        <v>2000</v>
      </c>
      <c r="O21" t="s">
        <v>239</v>
      </c>
      <c r="Q21" t="s">
        <v>136</v>
      </c>
      <c r="R21">
        <v>50000</v>
      </c>
      <c r="S21">
        <v>50000</v>
      </c>
      <c r="V21">
        <v>900000</v>
      </c>
      <c r="W21" t="s">
        <v>105</v>
      </c>
      <c r="X21" t="s">
        <v>230</v>
      </c>
      <c r="Y21">
        <v>3</v>
      </c>
      <c r="AA21" t="s">
        <v>240</v>
      </c>
      <c r="AC21">
        <v>51</v>
      </c>
      <c r="AE21" t="s">
        <v>125</v>
      </c>
      <c r="AF21">
        <v>5.5555555555555552E-2</v>
      </c>
      <c r="AG21" t="b">
        <v>0</v>
      </c>
      <c r="AH21">
        <v>225000</v>
      </c>
      <c r="AI21" t="s">
        <v>110</v>
      </c>
      <c r="AJ21" t="s">
        <v>159</v>
      </c>
      <c r="AK21" t="s">
        <v>112</v>
      </c>
      <c r="AL21">
        <v>12500</v>
      </c>
      <c r="AM21" t="s">
        <v>126</v>
      </c>
      <c r="AN21" t="s">
        <v>114</v>
      </c>
      <c r="AO21" t="s">
        <v>115</v>
      </c>
      <c r="AP21">
        <v>1</v>
      </c>
      <c r="AQ21">
        <v>4</v>
      </c>
      <c r="AR21">
        <v>8</v>
      </c>
      <c r="AS21">
        <v>2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2</v>
      </c>
      <c r="BA21">
        <v>5</v>
      </c>
      <c r="BB21">
        <v>0</v>
      </c>
      <c r="BC21">
        <v>1</v>
      </c>
      <c r="BD21">
        <v>5</v>
      </c>
      <c r="BE21">
        <v>1</v>
      </c>
      <c r="BF21">
        <v>1</v>
      </c>
      <c r="BG21">
        <v>2</v>
      </c>
      <c r="BH21">
        <v>0</v>
      </c>
      <c r="BI21">
        <v>2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2</v>
      </c>
      <c r="BP21">
        <v>1</v>
      </c>
      <c r="BQ21">
        <v>4</v>
      </c>
      <c r="BR21">
        <v>0</v>
      </c>
      <c r="BS21">
        <v>2</v>
      </c>
      <c r="BT21">
        <v>0</v>
      </c>
      <c r="BU21">
        <v>0</v>
      </c>
      <c r="BV21">
        <v>0</v>
      </c>
      <c r="BW21">
        <v>1</v>
      </c>
      <c r="BX21">
        <v>1</v>
      </c>
      <c r="BY21">
        <v>2</v>
      </c>
      <c r="BZ21">
        <v>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</v>
      </c>
      <c r="CH21">
        <v>5</v>
      </c>
      <c r="CI21">
        <v>1</v>
      </c>
      <c r="CJ21">
        <v>1</v>
      </c>
      <c r="CK21">
        <v>1</v>
      </c>
      <c r="CL21">
        <v>3</v>
      </c>
      <c r="CM21">
        <v>0</v>
      </c>
      <c r="CN21">
        <v>0</v>
      </c>
      <c r="CO21">
        <v>0</v>
      </c>
      <c r="CP21">
        <v>2</v>
      </c>
      <c r="CQ21">
        <v>0</v>
      </c>
    </row>
    <row r="22" spans="1:95" x14ac:dyDescent="0.25">
      <c r="A22" t="s">
        <v>241</v>
      </c>
      <c r="B22" t="s">
        <v>197</v>
      </c>
      <c r="C22" t="s">
        <v>226</v>
      </c>
      <c r="D22">
        <v>1957</v>
      </c>
      <c r="E22" t="s">
        <v>98</v>
      </c>
      <c r="F22" t="s">
        <v>99</v>
      </c>
      <c r="G22" t="s">
        <v>100</v>
      </c>
      <c r="H22">
        <v>1</v>
      </c>
      <c r="I22">
        <v>0</v>
      </c>
      <c r="J22">
        <v>64</v>
      </c>
      <c r="K22" t="s">
        <v>101</v>
      </c>
      <c r="L22" t="s">
        <v>242</v>
      </c>
      <c r="M22">
        <v>1975</v>
      </c>
      <c r="N22">
        <v>1975</v>
      </c>
      <c r="O22" t="s">
        <v>103</v>
      </c>
      <c r="P22">
        <v>8</v>
      </c>
      <c r="Q22" t="s">
        <v>150</v>
      </c>
      <c r="R22">
        <v>58000</v>
      </c>
      <c r="S22">
        <v>58000</v>
      </c>
      <c r="V22">
        <v>300000</v>
      </c>
      <c r="W22" t="s">
        <v>156</v>
      </c>
      <c r="X22" t="s">
        <v>243</v>
      </c>
      <c r="Y22">
        <v>3</v>
      </c>
      <c r="AA22" t="s">
        <v>244</v>
      </c>
      <c r="AC22">
        <v>41</v>
      </c>
      <c r="AE22" t="s">
        <v>125</v>
      </c>
      <c r="AF22">
        <v>0.1933333333333333</v>
      </c>
      <c r="AG22" t="b">
        <v>0</v>
      </c>
      <c r="AH22">
        <v>300000</v>
      </c>
      <c r="AI22" t="s">
        <v>110</v>
      </c>
      <c r="AJ22" t="s">
        <v>166</v>
      </c>
      <c r="AK22" t="s">
        <v>112</v>
      </c>
      <c r="AL22">
        <v>58000</v>
      </c>
      <c r="AM22" t="s">
        <v>113</v>
      </c>
      <c r="AN22" t="s">
        <v>171</v>
      </c>
      <c r="AO22" t="s">
        <v>115</v>
      </c>
      <c r="AP22">
        <v>1</v>
      </c>
      <c r="AQ22">
        <v>1</v>
      </c>
      <c r="AR22">
        <v>7</v>
      </c>
      <c r="AS22">
        <v>1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2</v>
      </c>
      <c r="BC22">
        <v>0</v>
      </c>
      <c r="BD22">
        <v>2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1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</row>
    <row r="23" spans="1:95" x14ac:dyDescent="0.25">
      <c r="A23" t="s">
        <v>245</v>
      </c>
      <c r="B23" t="s">
        <v>197</v>
      </c>
      <c r="C23" t="s">
        <v>226</v>
      </c>
      <c r="D23">
        <v>2000</v>
      </c>
      <c r="E23" t="s">
        <v>148</v>
      </c>
      <c r="F23" t="s">
        <v>99</v>
      </c>
      <c r="G23" t="s">
        <v>100</v>
      </c>
      <c r="H23">
        <v>2</v>
      </c>
      <c r="I23">
        <v>0</v>
      </c>
      <c r="J23">
        <v>70</v>
      </c>
      <c r="K23" t="s">
        <v>101</v>
      </c>
      <c r="L23" t="s">
        <v>246</v>
      </c>
      <c r="M23">
        <v>2018</v>
      </c>
      <c r="N23">
        <v>2018</v>
      </c>
      <c r="O23" t="s">
        <v>247</v>
      </c>
      <c r="Q23" t="s">
        <v>248</v>
      </c>
      <c r="R23">
        <v>45000</v>
      </c>
      <c r="S23">
        <v>45000</v>
      </c>
      <c r="V23">
        <v>600000</v>
      </c>
      <c r="W23" t="s">
        <v>105</v>
      </c>
      <c r="X23" t="s">
        <v>243</v>
      </c>
      <c r="Y23">
        <v>1</v>
      </c>
      <c r="AA23" t="s">
        <v>249</v>
      </c>
      <c r="AC23">
        <v>33</v>
      </c>
      <c r="AE23" t="s">
        <v>125</v>
      </c>
      <c r="AF23">
        <v>7.4999999999999997E-2</v>
      </c>
      <c r="AG23" t="b">
        <v>0</v>
      </c>
      <c r="AH23">
        <v>300000</v>
      </c>
      <c r="AI23" t="s">
        <v>110</v>
      </c>
      <c r="AJ23" t="s">
        <v>142</v>
      </c>
      <c r="AK23" t="s">
        <v>112</v>
      </c>
      <c r="AL23">
        <v>22500</v>
      </c>
      <c r="AM23" t="s">
        <v>126</v>
      </c>
      <c r="AN23" t="s">
        <v>127</v>
      </c>
      <c r="AO23" t="s">
        <v>115</v>
      </c>
      <c r="AP23">
        <v>0</v>
      </c>
      <c r="AQ23">
        <v>3</v>
      </c>
      <c r="AR23">
        <v>3</v>
      </c>
      <c r="AS23">
        <v>1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2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0</v>
      </c>
      <c r="BR23">
        <v>0</v>
      </c>
      <c r="BS23">
        <v>0</v>
      </c>
      <c r="BT23">
        <v>1</v>
      </c>
      <c r="BU23">
        <v>0</v>
      </c>
      <c r="BV23">
        <v>1</v>
      </c>
      <c r="BW23">
        <v>0</v>
      </c>
      <c r="BX23">
        <v>1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</v>
      </c>
      <c r="CG23">
        <v>0</v>
      </c>
      <c r="CH23">
        <v>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</row>
    <row r="24" spans="1:95" x14ac:dyDescent="0.25">
      <c r="A24" t="s">
        <v>250</v>
      </c>
      <c r="B24" t="s">
        <v>197</v>
      </c>
      <c r="C24" t="s">
        <v>226</v>
      </c>
      <c r="D24">
        <v>1988</v>
      </c>
      <c r="E24" t="s">
        <v>98</v>
      </c>
      <c r="F24" t="s">
        <v>198</v>
      </c>
      <c r="G24" t="s">
        <v>187</v>
      </c>
      <c r="H24">
        <v>3</v>
      </c>
      <c r="I24">
        <v>2</v>
      </c>
      <c r="J24">
        <v>24</v>
      </c>
      <c r="K24" t="s">
        <v>133</v>
      </c>
      <c r="L24" t="s">
        <v>251</v>
      </c>
      <c r="M24">
        <v>2025</v>
      </c>
      <c r="N24">
        <v>2025</v>
      </c>
      <c r="O24" t="s">
        <v>103</v>
      </c>
      <c r="P24">
        <v>7</v>
      </c>
      <c r="Q24" t="s">
        <v>104</v>
      </c>
      <c r="R24">
        <v>200000</v>
      </c>
      <c r="S24">
        <v>55000</v>
      </c>
      <c r="T24">
        <v>145000</v>
      </c>
      <c r="V24">
        <v>500000</v>
      </c>
      <c r="W24" t="s">
        <v>105</v>
      </c>
      <c r="X24" t="s">
        <v>252</v>
      </c>
      <c r="Y24">
        <v>2</v>
      </c>
      <c r="AA24" t="s">
        <v>253</v>
      </c>
      <c r="AB24" t="s">
        <v>254</v>
      </c>
      <c r="AC24">
        <v>33</v>
      </c>
      <c r="AD24" t="s">
        <v>255</v>
      </c>
      <c r="AE24" t="s">
        <v>178</v>
      </c>
      <c r="AF24">
        <v>0.4</v>
      </c>
      <c r="AG24" t="b">
        <v>1</v>
      </c>
      <c r="AH24">
        <v>166666.66666666669</v>
      </c>
      <c r="AI24" t="s">
        <v>141</v>
      </c>
      <c r="AJ24" t="s">
        <v>159</v>
      </c>
      <c r="AK24" t="s">
        <v>143</v>
      </c>
      <c r="AL24">
        <v>66666.666666666672</v>
      </c>
      <c r="AM24" t="s">
        <v>144</v>
      </c>
      <c r="AN24" t="s">
        <v>145</v>
      </c>
      <c r="AO24" t="s">
        <v>167</v>
      </c>
      <c r="AP24">
        <v>1</v>
      </c>
      <c r="AQ24">
        <v>9</v>
      </c>
      <c r="AR24">
        <v>5</v>
      </c>
      <c r="AS24">
        <v>2</v>
      </c>
      <c r="AT24">
        <v>0</v>
      </c>
      <c r="AU24">
        <v>1</v>
      </c>
      <c r="AV24">
        <v>2</v>
      </c>
      <c r="AW24">
        <v>0</v>
      </c>
      <c r="AX24">
        <v>1</v>
      </c>
      <c r="AY24">
        <v>1</v>
      </c>
      <c r="AZ24">
        <v>1</v>
      </c>
      <c r="BA24">
        <v>0</v>
      </c>
      <c r="BB24">
        <v>1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2</v>
      </c>
      <c r="BL24">
        <v>0</v>
      </c>
      <c r="BM24">
        <v>0</v>
      </c>
      <c r="BN24">
        <v>0</v>
      </c>
      <c r="BO24">
        <v>1</v>
      </c>
      <c r="BP24">
        <v>0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1</v>
      </c>
      <c r="BW24">
        <v>1</v>
      </c>
      <c r="BX24">
        <v>0</v>
      </c>
      <c r="BY24">
        <v>0</v>
      </c>
      <c r="BZ24">
        <v>2</v>
      </c>
      <c r="CA24">
        <v>0</v>
      </c>
      <c r="CB24">
        <v>4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3</v>
      </c>
      <c r="CI24">
        <v>2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</row>
    <row r="25" spans="1:95" x14ac:dyDescent="0.25">
      <c r="A25" t="s">
        <v>256</v>
      </c>
      <c r="B25" t="s">
        <v>197</v>
      </c>
      <c r="C25" t="s">
        <v>257</v>
      </c>
      <c r="D25">
        <v>1998</v>
      </c>
      <c r="E25" t="s">
        <v>148</v>
      </c>
      <c r="F25" t="s">
        <v>99</v>
      </c>
      <c r="G25" t="s">
        <v>132</v>
      </c>
      <c r="H25">
        <v>2</v>
      </c>
      <c r="I25">
        <v>0</v>
      </c>
      <c r="J25">
        <v>46</v>
      </c>
      <c r="K25" t="s">
        <v>133</v>
      </c>
      <c r="L25" t="s">
        <v>258</v>
      </c>
      <c r="M25">
        <v>2019</v>
      </c>
      <c r="N25">
        <v>2025</v>
      </c>
      <c r="O25" t="s">
        <v>103</v>
      </c>
      <c r="P25">
        <v>11</v>
      </c>
      <c r="Q25" t="s">
        <v>120</v>
      </c>
      <c r="R25">
        <v>190000</v>
      </c>
      <c r="S25">
        <v>19000</v>
      </c>
      <c r="T25">
        <v>170000</v>
      </c>
      <c r="V25">
        <v>450000</v>
      </c>
      <c r="W25" t="s">
        <v>259</v>
      </c>
      <c r="X25" t="s">
        <v>260</v>
      </c>
      <c r="Y25">
        <v>0</v>
      </c>
      <c r="AA25" t="s">
        <v>261</v>
      </c>
      <c r="AC25">
        <v>48</v>
      </c>
      <c r="AE25" t="s">
        <v>178</v>
      </c>
      <c r="AF25">
        <v>0.42222222222222222</v>
      </c>
      <c r="AG25" t="b">
        <v>1</v>
      </c>
      <c r="AH25">
        <v>225000</v>
      </c>
      <c r="AI25" t="s">
        <v>110</v>
      </c>
      <c r="AJ25" t="s">
        <v>142</v>
      </c>
      <c r="AK25" t="s">
        <v>143</v>
      </c>
      <c r="AL25">
        <v>95000</v>
      </c>
      <c r="AM25" t="s">
        <v>144</v>
      </c>
      <c r="AN25" t="s">
        <v>145</v>
      </c>
      <c r="AO25" t="s">
        <v>115</v>
      </c>
      <c r="AP25">
        <v>1</v>
      </c>
      <c r="AQ25">
        <v>2</v>
      </c>
      <c r="AR25">
        <v>12</v>
      </c>
      <c r="AS25">
        <v>2</v>
      </c>
      <c r="AT25">
        <v>0</v>
      </c>
      <c r="AU25">
        <v>1</v>
      </c>
      <c r="AV25">
        <v>2</v>
      </c>
      <c r="AW25">
        <v>0</v>
      </c>
      <c r="AX25">
        <v>0</v>
      </c>
      <c r="AY25">
        <v>0</v>
      </c>
      <c r="AZ25">
        <v>3</v>
      </c>
      <c r="BA25">
        <v>6</v>
      </c>
      <c r="BB25">
        <v>0</v>
      </c>
      <c r="BC25">
        <v>0</v>
      </c>
      <c r="BD25">
        <v>3</v>
      </c>
      <c r="BE25">
        <v>1</v>
      </c>
      <c r="BF25">
        <v>0</v>
      </c>
      <c r="BG25">
        <v>1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2</v>
      </c>
      <c r="BN25">
        <v>0</v>
      </c>
      <c r="BO25">
        <v>2</v>
      </c>
      <c r="BP25">
        <v>0</v>
      </c>
      <c r="BQ25">
        <v>0</v>
      </c>
      <c r="BR25">
        <v>0</v>
      </c>
      <c r="BS25">
        <v>1</v>
      </c>
      <c r="BT25">
        <v>2</v>
      </c>
      <c r="BU25">
        <v>0</v>
      </c>
      <c r="BV25">
        <v>2</v>
      </c>
      <c r="BW25">
        <v>2</v>
      </c>
      <c r="BX25">
        <v>1</v>
      </c>
      <c r="BY25">
        <v>1</v>
      </c>
      <c r="BZ25">
        <v>1</v>
      </c>
      <c r="CA25">
        <v>1</v>
      </c>
      <c r="CB25">
        <v>0</v>
      </c>
      <c r="CC25">
        <v>1</v>
      </c>
      <c r="CD25">
        <v>0</v>
      </c>
      <c r="CE25">
        <v>1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3</v>
      </c>
      <c r="CM25">
        <v>1</v>
      </c>
      <c r="CN25">
        <v>0</v>
      </c>
      <c r="CO25">
        <v>2</v>
      </c>
      <c r="CP25">
        <v>0</v>
      </c>
      <c r="CQ25">
        <v>0</v>
      </c>
    </row>
    <row r="26" spans="1:95" x14ac:dyDescent="0.25">
      <c r="A26" t="s">
        <v>262</v>
      </c>
      <c r="B26" t="s">
        <v>197</v>
      </c>
      <c r="C26" t="s">
        <v>257</v>
      </c>
      <c r="D26">
        <v>1981</v>
      </c>
      <c r="E26" t="s">
        <v>98</v>
      </c>
      <c r="F26" t="s">
        <v>99</v>
      </c>
      <c r="G26" t="s">
        <v>100</v>
      </c>
      <c r="H26">
        <v>3</v>
      </c>
      <c r="I26">
        <v>1</v>
      </c>
      <c r="J26">
        <v>55</v>
      </c>
      <c r="K26" t="s">
        <v>133</v>
      </c>
      <c r="L26" t="s">
        <v>263</v>
      </c>
      <c r="M26">
        <v>2006</v>
      </c>
      <c r="N26">
        <v>2025</v>
      </c>
      <c r="O26" t="s">
        <v>103</v>
      </c>
      <c r="P26">
        <v>11</v>
      </c>
      <c r="Q26" t="s">
        <v>120</v>
      </c>
      <c r="R26">
        <v>173000</v>
      </c>
      <c r="S26">
        <v>73000</v>
      </c>
      <c r="U26">
        <v>100000</v>
      </c>
      <c r="V26">
        <v>200000</v>
      </c>
      <c r="W26" t="s">
        <v>137</v>
      </c>
      <c r="X26" t="s">
        <v>264</v>
      </c>
      <c r="Y26">
        <v>0</v>
      </c>
      <c r="AA26" t="s">
        <v>265</v>
      </c>
      <c r="AB26" t="s">
        <v>266</v>
      </c>
      <c r="AC26">
        <v>50</v>
      </c>
      <c r="AE26" t="s">
        <v>140</v>
      </c>
      <c r="AF26">
        <v>0.86499999999999999</v>
      </c>
      <c r="AG26" t="b">
        <v>1</v>
      </c>
      <c r="AH26">
        <v>66666.666666666672</v>
      </c>
      <c r="AI26" t="s">
        <v>110</v>
      </c>
      <c r="AJ26" t="s">
        <v>159</v>
      </c>
      <c r="AK26" t="s">
        <v>112</v>
      </c>
      <c r="AL26">
        <v>57666.666666666657</v>
      </c>
      <c r="AM26" t="s">
        <v>126</v>
      </c>
      <c r="AN26" t="s">
        <v>145</v>
      </c>
      <c r="AO26" t="s">
        <v>167</v>
      </c>
      <c r="AP26">
        <v>0</v>
      </c>
      <c r="AQ26">
        <v>6</v>
      </c>
      <c r="AR26">
        <v>7</v>
      </c>
      <c r="AS26">
        <v>1</v>
      </c>
      <c r="AT26">
        <v>0</v>
      </c>
      <c r="AU26">
        <v>0</v>
      </c>
      <c r="AV26">
        <v>2</v>
      </c>
      <c r="AW26">
        <v>0</v>
      </c>
      <c r="AX26">
        <v>0</v>
      </c>
      <c r="AY26">
        <v>0</v>
      </c>
      <c r="AZ26">
        <v>2</v>
      </c>
      <c r="BA26">
        <v>2</v>
      </c>
      <c r="BB26">
        <v>2</v>
      </c>
      <c r="BC26">
        <v>0</v>
      </c>
      <c r="BD26">
        <v>3</v>
      </c>
      <c r="BE26">
        <v>0</v>
      </c>
      <c r="BF26">
        <v>0</v>
      </c>
      <c r="BG26">
        <v>1</v>
      </c>
      <c r="BH26">
        <v>1</v>
      </c>
      <c r="BI26">
        <v>2</v>
      </c>
      <c r="BJ26">
        <v>0</v>
      </c>
      <c r="BK26">
        <v>0</v>
      </c>
      <c r="BL26">
        <v>0</v>
      </c>
      <c r="BM26">
        <v>2</v>
      </c>
      <c r="BN26">
        <v>0</v>
      </c>
      <c r="BO26">
        <v>0</v>
      </c>
      <c r="BP26">
        <v>1</v>
      </c>
      <c r="BQ26">
        <v>1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1</v>
      </c>
      <c r="BX26">
        <v>1</v>
      </c>
      <c r="BY26">
        <v>0</v>
      </c>
      <c r="BZ26">
        <v>0</v>
      </c>
      <c r="CA26">
        <v>5</v>
      </c>
      <c r="CB26">
        <v>4</v>
      </c>
      <c r="CC26">
        <v>1</v>
      </c>
      <c r="CD26">
        <v>2</v>
      </c>
      <c r="CE26">
        <v>0</v>
      </c>
      <c r="CF26">
        <v>3</v>
      </c>
      <c r="CG26">
        <v>1</v>
      </c>
      <c r="CH26">
        <v>2</v>
      </c>
      <c r="CI26">
        <v>0</v>
      </c>
      <c r="CJ26">
        <v>0</v>
      </c>
      <c r="CK26">
        <v>2</v>
      </c>
      <c r="CL26">
        <v>2</v>
      </c>
      <c r="CM26">
        <v>0</v>
      </c>
      <c r="CN26">
        <v>0</v>
      </c>
      <c r="CO26">
        <v>0</v>
      </c>
      <c r="CP26">
        <v>0</v>
      </c>
      <c r="CQ26">
        <v>0</v>
      </c>
    </row>
    <row r="27" spans="1:95" x14ac:dyDescent="0.25">
      <c r="A27" t="s">
        <v>267</v>
      </c>
      <c r="B27" t="s">
        <v>197</v>
      </c>
      <c r="C27" t="s">
        <v>257</v>
      </c>
      <c r="D27">
        <v>2002</v>
      </c>
      <c r="E27" t="s">
        <v>148</v>
      </c>
      <c r="F27" t="s">
        <v>131</v>
      </c>
      <c r="G27" t="s">
        <v>100</v>
      </c>
      <c r="H27">
        <v>1</v>
      </c>
      <c r="I27">
        <v>0</v>
      </c>
      <c r="J27">
        <v>32</v>
      </c>
      <c r="K27" t="s">
        <v>133</v>
      </c>
      <c r="L27" t="s">
        <v>268</v>
      </c>
      <c r="M27">
        <v>2018</v>
      </c>
      <c r="N27">
        <v>2023</v>
      </c>
      <c r="O27" t="s">
        <v>103</v>
      </c>
      <c r="P27">
        <v>10</v>
      </c>
      <c r="Q27" t="s">
        <v>104</v>
      </c>
      <c r="R27">
        <v>70000</v>
      </c>
      <c r="S27">
        <v>70000</v>
      </c>
      <c r="V27">
        <v>600000</v>
      </c>
      <c r="W27" t="s">
        <v>105</v>
      </c>
      <c r="X27" t="s">
        <v>269</v>
      </c>
      <c r="Y27">
        <v>2</v>
      </c>
      <c r="AB27" t="s">
        <v>270</v>
      </c>
      <c r="AC27">
        <v>64</v>
      </c>
      <c r="AE27" t="s">
        <v>178</v>
      </c>
      <c r="AF27">
        <v>0.1166666666666667</v>
      </c>
      <c r="AG27" t="b">
        <v>0</v>
      </c>
      <c r="AH27">
        <v>600000</v>
      </c>
      <c r="AI27" t="s">
        <v>141</v>
      </c>
      <c r="AJ27" t="s">
        <v>142</v>
      </c>
      <c r="AK27" t="s">
        <v>112</v>
      </c>
      <c r="AL27">
        <v>70000</v>
      </c>
      <c r="AM27" t="s">
        <v>126</v>
      </c>
      <c r="AN27" t="s">
        <v>127</v>
      </c>
      <c r="AO27" t="s">
        <v>128</v>
      </c>
      <c r="AP27">
        <v>1</v>
      </c>
      <c r="AQ27">
        <v>11</v>
      </c>
      <c r="AR27">
        <v>9</v>
      </c>
      <c r="AS27">
        <v>1</v>
      </c>
      <c r="AT27">
        <v>0</v>
      </c>
      <c r="AU27">
        <v>0</v>
      </c>
      <c r="AV27">
        <v>2</v>
      </c>
      <c r="AW27">
        <v>0</v>
      </c>
      <c r="AX27">
        <v>0</v>
      </c>
      <c r="AY27">
        <v>1</v>
      </c>
      <c r="AZ27">
        <v>2</v>
      </c>
      <c r="BA27">
        <v>0</v>
      </c>
      <c r="BB27">
        <v>5</v>
      </c>
      <c r="BC27">
        <v>0</v>
      </c>
      <c r="BD27">
        <v>9</v>
      </c>
      <c r="BE27">
        <v>0</v>
      </c>
      <c r="BF27">
        <v>0</v>
      </c>
      <c r="BG27">
        <v>0</v>
      </c>
      <c r="BH27">
        <v>0</v>
      </c>
      <c r="BI27">
        <v>2</v>
      </c>
      <c r="BJ27">
        <v>1</v>
      </c>
      <c r="BK27">
        <v>0</v>
      </c>
      <c r="BL27">
        <v>0</v>
      </c>
      <c r="BM27">
        <v>2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1</v>
      </c>
      <c r="BT27">
        <v>0</v>
      </c>
      <c r="BU27">
        <v>0</v>
      </c>
      <c r="BV27">
        <v>1</v>
      </c>
      <c r="BW27">
        <v>0</v>
      </c>
      <c r="BX27">
        <v>0</v>
      </c>
      <c r="BY27">
        <v>1</v>
      </c>
      <c r="BZ27">
        <v>0</v>
      </c>
      <c r="CA27">
        <v>1</v>
      </c>
      <c r="CB27">
        <v>2</v>
      </c>
      <c r="CC27">
        <v>2</v>
      </c>
      <c r="CD27">
        <v>4</v>
      </c>
      <c r="CE27">
        <v>6</v>
      </c>
      <c r="CF27">
        <v>3</v>
      </c>
      <c r="CG27">
        <v>0</v>
      </c>
      <c r="CH27">
        <v>0</v>
      </c>
      <c r="CI27">
        <v>0</v>
      </c>
      <c r="CJ27">
        <v>0</v>
      </c>
      <c r="CK27">
        <v>3</v>
      </c>
      <c r="CL27">
        <v>3</v>
      </c>
      <c r="CM27">
        <v>0</v>
      </c>
      <c r="CN27">
        <v>0</v>
      </c>
      <c r="CO27">
        <v>2</v>
      </c>
      <c r="CP27">
        <v>0</v>
      </c>
      <c r="CQ27">
        <v>0</v>
      </c>
    </row>
    <row r="28" spans="1:95" x14ac:dyDescent="0.25">
      <c r="A28" t="s">
        <v>271</v>
      </c>
      <c r="B28" t="s">
        <v>161</v>
      </c>
      <c r="C28" t="s">
        <v>130</v>
      </c>
      <c r="D28">
        <v>1989</v>
      </c>
      <c r="E28" t="s">
        <v>98</v>
      </c>
      <c r="F28" t="s">
        <v>131</v>
      </c>
      <c r="G28" t="s">
        <v>132</v>
      </c>
      <c r="H28">
        <v>2</v>
      </c>
      <c r="I28">
        <v>0</v>
      </c>
      <c r="J28">
        <v>110</v>
      </c>
      <c r="K28" t="s">
        <v>101</v>
      </c>
      <c r="L28" t="s">
        <v>272</v>
      </c>
      <c r="M28">
        <v>2016</v>
      </c>
      <c r="N28">
        <v>2016</v>
      </c>
      <c r="O28" t="s">
        <v>103</v>
      </c>
      <c r="P28">
        <v>6</v>
      </c>
      <c r="Q28" t="s">
        <v>104</v>
      </c>
      <c r="R28">
        <v>213000</v>
      </c>
      <c r="S28">
        <v>48000</v>
      </c>
      <c r="T28">
        <v>165000</v>
      </c>
      <c r="V28">
        <v>580000</v>
      </c>
      <c r="W28" t="s">
        <v>259</v>
      </c>
      <c r="X28" t="s">
        <v>235</v>
      </c>
      <c r="Y28">
        <v>4</v>
      </c>
      <c r="AA28" t="s">
        <v>273</v>
      </c>
      <c r="AB28" t="s">
        <v>274</v>
      </c>
      <c r="AC28">
        <v>51</v>
      </c>
      <c r="AE28" t="s">
        <v>140</v>
      </c>
      <c r="AF28">
        <v>0.36724137931034478</v>
      </c>
      <c r="AG28" t="b">
        <v>1</v>
      </c>
      <c r="AH28">
        <v>290000</v>
      </c>
      <c r="AI28" t="s">
        <v>141</v>
      </c>
      <c r="AJ28" t="s">
        <v>159</v>
      </c>
      <c r="AK28" t="s">
        <v>143</v>
      </c>
      <c r="AL28">
        <v>106500</v>
      </c>
      <c r="AM28" t="s">
        <v>144</v>
      </c>
      <c r="AN28" t="s">
        <v>114</v>
      </c>
      <c r="AO28" t="s">
        <v>115</v>
      </c>
      <c r="AP28">
        <v>1</v>
      </c>
      <c r="AQ28">
        <v>7</v>
      </c>
      <c r="AR28">
        <v>16</v>
      </c>
      <c r="AS28">
        <v>0</v>
      </c>
      <c r="AT28">
        <v>3</v>
      </c>
      <c r="AU28">
        <v>0</v>
      </c>
      <c r="AV28">
        <v>6</v>
      </c>
      <c r="AW28">
        <v>2</v>
      </c>
      <c r="AX28">
        <v>0</v>
      </c>
      <c r="AY28">
        <v>0</v>
      </c>
      <c r="AZ28">
        <v>3</v>
      </c>
      <c r="BA28">
        <v>1</v>
      </c>
      <c r="BB28">
        <v>2</v>
      </c>
      <c r="BC28">
        <v>2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3</v>
      </c>
      <c r="BJ28">
        <v>1</v>
      </c>
      <c r="BK28">
        <v>2</v>
      </c>
      <c r="BL28">
        <v>0</v>
      </c>
      <c r="BM28">
        <v>2</v>
      </c>
      <c r="BN28">
        <v>0</v>
      </c>
      <c r="BO28">
        <v>0</v>
      </c>
      <c r="BP28">
        <v>1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2</v>
      </c>
      <c r="BW28">
        <v>1</v>
      </c>
      <c r="BX28">
        <v>3</v>
      </c>
      <c r="BY28">
        <v>1</v>
      </c>
      <c r="BZ28">
        <v>2</v>
      </c>
      <c r="CA28">
        <v>0</v>
      </c>
      <c r="CB28">
        <v>2</v>
      </c>
      <c r="CC28">
        <v>2</v>
      </c>
      <c r="CD28">
        <v>0</v>
      </c>
      <c r="CE28">
        <v>0</v>
      </c>
      <c r="CF28">
        <v>0</v>
      </c>
      <c r="CG28">
        <v>0</v>
      </c>
      <c r="CH28">
        <v>3</v>
      </c>
      <c r="CI28">
        <v>0</v>
      </c>
      <c r="CJ28">
        <v>1</v>
      </c>
      <c r="CK28">
        <v>0</v>
      </c>
      <c r="CL28">
        <v>3</v>
      </c>
      <c r="CM28">
        <v>0</v>
      </c>
      <c r="CN28">
        <v>0</v>
      </c>
      <c r="CO28">
        <v>1</v>
      </c>
      <c r="CP28">
        <v>0</v>
      </c>
      <c r="CQ28">
        <v>0</v>
      </c>
    </row>
    <row r="29" spans="1:95" x14ac:dyDescent="0.25">
      <c r="A29" t="s">
        <v>275</v>
      </c>
      <c r="B29" t="s">
        <v>161</v>
      </c>
      <c r="C29" t="s">
        <v>180</v>
      </c>
      <c r="D29">
        <v>1958</v>
      </c>
      <c r="E29" t="s">
        <v>98</v>
      </c>
      <c r="F29" t="s">
        <v>198</v>
      </c>
      <c r="G29" t="s">
        <v>187</v>
      </c>
      <c r="H29">
        <v>2</v>
      </c>
      <c r="I29">
        <v>0</v>
      </c>
      <c r="J29">
        <v>40</v>
      </c>
      <c r="K29" t="s">
        <v>101</v>
      </c>
      <c r="L29" t="s">
        <v>276</v>
      </c>
      <c r="M29">
        <v>2024</v>
      </c>
      <c r="N29">
        <v>2024</v>
      </c>
      <c r="O29" t="s">
        <v>103</v>
      </c>
      <c r="P29">
        <v>6</v>
      </c>
      <c r="Q29" t="s">
        <v>104</v>
      </c>
      <c r="R29">
        <v>65000</v>
      </c>
      <c r="S29">
        <v>65000</v>
      </c>
      <c r="V29">
        <v>450000</v>
      </c>
      <c r="W29" t="s">
        <v>105</v>
      </c>
      <c r="X29" t="s">
        <v>252</v>
      </c>
      <c r="Y29">
        <v>0</v>
      </c>
      <c r="AA29" t="s">
        <v>277</v>
      </c>
      <c r="AB29" t="s">
        <v>278</v>
      </c>
      <c r="AC29">
        <v>33</v>
      </c>
      <c r="AE29" t="s">
        <v>178</v>
      </c>
      <c r="AF29">
        <v>0.1444444444444444</v>
      </c>
      <c r="AG29" t="b">
        <v>0</v>
      </c>
      <c r="AH29">
        <v>225000</v>
      </c>
      <c r="AI29" t="s">
        <v>141</v>
      </c>
      <c r="AJ29" t="s">
        <v>166</v>
      </c>
      <c r="AK29" t="s">
        <v>143</v>
      </c>
      <c r="AL29">
        <v>32500</v>
      </c>
      <c r="AM29" t="s">
        <v>113</v>
      </c>
      <c r="AN29" t="s">
        <v>145</v>
      </c>
      <c r="AO29" t="s">
        <v>115</v>
      </c>
      <c r="AP29">
        <v>2</v>
      </c>
      <c r="AQ29">
        <v>11</v>
      </c>
      <c r="AR29">
        <v>6</v>
      </c>
      <c r="AS29">
        <v>2</v>
      </c>
      <c r="AT29">
        <v>3</v>
      </c>
      <c r="AU29">
        <v>0</v>
      </c>
      <c r="AV29">
        <v>1</v>
      </c>
      <c r="AW29">
        <v>1</v>
      </c>
      <c r="AX29">
        <v>2</v>
      </c>
      <c r="AY29">
        <v>2</v>
      </c>
      <c r="AZ29">
        <v>2</v>
      </c>
      <c r="BA29">
        <v>2</v>
      </c>
      <c r="BB29">
        <v>2</v>
      </c>
      <c r="BC29">
        <v>1</v>
      </c>
      <c r="BD29">
        <v>3</v>
      </c>
      <c r="BE29">
        <v>3</v>
      </c>
      <c r="BF29">
        <v>2</v>
      </c>
      <c r="BG29">
        <v>0</v>
      </c>
      <c r="BH29">
        <v>0</v>
      </c>
      <c r="BI29">
        <v>1</v>
      </c>
      <c r="BJ29">
        <v>0</v>
      </c>
      <c r="BK29">
        <v>3</v>
      </c>
      <c r="BL29">
        <v>1</v>
      </c>
      <c r="BM29">
        <v>1</v>
      </c>
      <c r="BN29">
        <v>0</v>
      </c>
      <c r="BO29">
        <v>0</v>
      </c>
      <c r="BP29">
        <v>3</v>
      </c>
      <c r="BQ29">
        <v>0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3</v>
      </c>
      <c r="CC29">
        <v>0</v>
      </c>
      <c r="CD29">
        <v>2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2</v>
      </c>
      <c r="CM29">
        <v>1</v>
      </c>
      <c r="CN29">
        <v>1</v>
      </c>
      <c r="CO29">
        <v>1</v>
      </c>
      <c r="CP29">
        <v>1</v>
      </c>
      <c r="CQ29">
        <v>1</v>
      </c>
    </row>
    <row r="30" spans="1:95" x14ac:dyDescent="0.25">
      <c r="A30" t="s">
        <v>279</v>
      </c>
      <c r="B30" t="s">
        <v>161</v>
      </c>
      <c r="C30" t="s">
        <v>180</v>
      </c>
      <c r="D30">
        <v>1937</v>
      </c>
      <c r="E30" t="s">
        <v>98</v>
      </c>
      <c r="F30" t="s">
        <v>192</v>
      </c>
      <c r="G30" t="s">
        <v>100</v>
      </c>
      <c r="H30">
        <v>1</v>
      </c>
      <c r="I30">
        <v>0</v>
      </c>
      <c r="J30">
        <v>34</v>
      </c>
      <c r="K30" t="s">
        <v>133</v>
      </c>
      <c r="L30" t="s">
        <v>280</v>
      </c>
      <c r="M30">
        <v>1965</v>
      </c>
      <c r="N30">
        <v>1985</v>
      </c>
      <c r="O30" t="s">
        <v>103</v>
      </c>
      <c r="P30">
        <v>8</v>
      </c>
      <c r="Q30" t="s">
        <v>150</v>
      </c>
      <c r="R30">
        <v>42000</v>
      </c>
      <c r="S30">
        <v>42000</v>
      </c>
      <c r="V30">
        <v>250000</v>
      </c>
      <c r="W30" t="s">
        <v>137</v>
      </c>
      <c r="X30" t="s">
        <v>281</v>
      </c>
      <c r="Y30">
        <v>2</v>
      </c>
      <c r="AA30" t="s">
        <v>282</v>
      </c>
      <c r="AB30" t="s">
        <v>283</v>
      </c>
      <c r="AC30">
        <v>39</v>
      </c>
      <c r="AE30" t="s">
        <v>109</v>
      </c>
      <c r="AF30">
        <v>0.16800000000000001</v>
      </c>
      <c r="AG30" t="b">
        <v>0</v>
      </c>
      <c r="AH30">
        <v>250000</v>
      </c>
      <c r="AI30" t="s">
        <v>190</v>
      </c>
      <c r="AJ30" t="s">
        <v>166</v>
      </c>
      <c r="AK30" t="s">
        <v>112</v>
      </c>
      <c r="AL30">
        <v>42000</v>
      </c>
      <c r="AM30" t="s">
        <v>113</v>
      </c>
      <c r="AN30" t="s">
        <v>171</v>
      </c>
      <c r="AO30" t="s">
        <v>115</v>
      </c>
      <c r="AP30">
        <v>2</v>
      </c>
      <c r="AQ30">
        <v>15</v>
      </c>
      <c r="AR30">
        <v>2</v>
      </c>
      <c r="AS30">
        <v>2</v>
      </c>
      <c r="AT30">
        <v>2</v>
      </c>
      <c r="AU30">
        <v>4</v>
      </c>
      <c r="AV30">
        <v>1</v>
      </c>
      <c r="AW30">
        <v>0</v>
      </c>
      <c r="AX30">
        <v>2</v>
      </c>
      <c r="AY30">
        <v>2</v>
      </c>
      <c r="AZ30">
        <v>2</v>
      </c>
      <c r="BA30">
        <v>0</v>
      </c>
      <c r="BB30">
        <v>2</v>
      </c>
      <c r="BC30">
        <v>0</v>
      </c>
      <c r="BD30">
        <v>6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1</v>
      </c>
      <c r="BN30">
        <v>0</v>
      </c>
      <c r="BO30">
        <v>1</v>
      </c>
      <c r="BP30">
        <v>2</v>
      </c>
      <c r="BQ30">
        <v>4</v>
      </c>
      <c r="BR30">
        <v>1</v>
      </c>
      <c r="BS30">
        <v>2</v>
      </c>
      <c r="BT30">
        <v>1</v>
      </c>
      <c r="BU30">
        <v>0</v>
      </c>
      <c r="BV30">
        <v>0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4</v>
      </c>
      <c r="CC30">
        <v>0</v>
      </c>
      <c r="CD30">
        <v>0</v>
      </c>
      <c r="CE30">
        <v>0</v>
      </c>
      <c r="CF30">
        <v>2</v>
      </c>
      <c r="CG30">
        <v>0</v>
      </c>
      <c r="CH30">
        <v>1</v>
      </c>
      <c r="CI30">
        <v>1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</v>
      </c>
      <c r="CP30">
        <v>0</v>
      </c>
      <c r="CQ30">
        <v>0</v>
      </c>
    </row>
    <row r="31" spans="1:95" x14ac:dyDescent="0.25">
      <c r="A31" t="s">
        <v>284</v>
      </c>
      <c r="B31" t="s">
        <v>161</v>
      </c>
      <c r="C31" t="s">
        <v>180</v>
      </c>
      <c r="D31">
        <v>1979</v>
      </c>
      <c r="E31" t="s">
        <v>98</v>
      </c>
      <c r="F31" t="s">
        <v>131</v>
      </c>
      <c r="G31" t="s">
        <v>100</v>
      </c>
      <c r="H31">
        <v>1</v>
      </c>
      <c r="I31">
        <v>0</v>
      </c>
      <c r="J31">
        <v>64</v>
      </c>
      <c r="K31" t="s">
        <v>101</v>
      </c>
      <c r="L31" t="s">
        <v>285</v>
      </c>
      <c r="M31">
        <v>1979</v>
      </c>
      <c r="N31">
        <v>1979</v>
      </c>
      <c r="Q31" t="s">
        <v>174</v>
      </c>
      <c r="R31">
        <v>55000</v>
      </c>
      <c r="S31">
        <v>55000</v>
      </c>
      <c r="W31" t="s">
        <v>105</v>
      </c>
      <c r="X31" t="s">
        <v>286</v>
      </c>
      <c r="Y31">
        <v>2</v>
      </c>
      <c r="AA31" t="s">
        <v>287</v>
      </c>
      <c r="AC31">
        <v>25</v>
      </c>
      <c r="AE31" t="s">
        <v>125</v>
      </c>
      <c r="AI31" t="s">
        <v>141</v>
      </c>
      <c r="AJ31" t="s">
        <v>159</v>
      </c>
      <c r="AK31" t="s">
        <v>112</v>
      </c>
      <c r="AL31">
        <v>55000</v>
      </c>
      <c r="AM31" t="s">
        <v>126</v>
      </c>
      <c r="AN31" t="s">
        <v>171</v>
      </c>
      <c r="AP31">
        <v>0</v>
      </c>
      <c r="AQ31">
        <v>8</v>
      </c>
      <c r="AR31">
        <v>10</v>
      </c>
      <c r="AS31">
        <v>1</v>
      </c>
      <c r="AT31">
        <v>1</v>
      </c>
      <c r="AU31">
        <v>0</v>
      </c>
      <c r="AV31">
        <v>2</v>
      </c>
      <c r="AW31">
        <v>0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2</v>
      </c>
      <c r="BD31">
        <v>2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0</v>
      </c>
      <c r="BM31">
        <v>1</v>
      </c>
      <c r="BN31">
        <v>2</v>
      </c>
      <c r="BO31">
        <v>1</v>
      </c>
      <c r="BP31">
        <v>0</v>
      </c>
      <c r="BQ31">
        <v>1</v>
      </c>
      <c r="BR31">
        <v>0</v>
      </c>
      <c r="BS31">
        <v>2</v>
      </c>
      <c r="BT31">
        <v>0</v>
      </c>
      <c r="BU31">
        <v>2</v>
      </c>
      <c r="BV31">
        <v>1</v>
      </c>
      <c r="BW31">
        <v>0</v>
      </c>
      <c r="BX31">
        <v>1</v>
      </c>
      <c r="BY31">
        <v>1</v>
      </c>
      <c r="BZ31">
        <v>1</v>
      </c>
      <c r="CA31">
        <v>0</v>
      </c>
      <c r="CB31">
        <v>1</v>
      </c>
      <c r="CC31">
        <v>0</v>
      </c>
      <c r="CD31">
        <v>1</v>
      </c>
      <c r="CE31">
        <v>1</v>
      </c>
      <c r="CF31">
        <v>0</v>
      </c>
      <c r="CG31">
        <v>0</v>
      </c>
      <c r="CH31">
        <v>0</v>
      </c>
      <c r="CI31">
        <v>1</v>
      </c>
      <c r="CJ31">
        <v>0</v>
      </c>
      <c r="CK31">
        <v>1</v>
      </c>
      <c r="CL31">
        <v>1</v>
      </c>
      <c r="CM31">
        <v>0</v>
      </c>
      <c r="CN31">
        <v>0</v>
      </c>
      <c r="CO31">
        <v>0</v>
      </c>
      <c r="CP31">
        <v>0</v>
      </c>
      <c r="CQ31">
        <v>1</v>
      </c>
    </row>
    <row r="32" spans="1:95" x14ac:dyDescent="0.25">
      <c r="A32" t="s">
        <v>288</v>
      </c>
      <c r="B32" t="s">
        <v>161</v>
      </c>
      <c r="C32" t="s">
        <v>180</v>
      </c>
      <c r="D32">
        <v>2004</v>
      </c>
      <c r="E32" t="s">
        <v>148</v>
      </c>
      <c r="F32" t="s">
        <v>131</v>
      </c>
      <c r="G32" t="s">
        <v>132</v>
      </c>
      <c r="H32">
        <v>2</v>
      </c>
      <c r="I32">
        <v>0</v>
      </c>
      <c r="J32">
        <v>53</v>
      </c>
      <c r="K32" t="s">
        <v>101</v>
      </c>
      <c r="L32" t="s">
        <v>222</v>
      </c>
      <c r="M32">
        <v>2023</v>
      </c>
      <c r="N32">
        <v>2023</v>
      </c>
      <c r="O32" t="s">
        <v>289</v>
      </c>
      <c r="Q32" t="s">
        <v>136</v>
      </c>
      <c r="R32">
        <v>105000</v>
      </c>
      <c r="S32">
        <v>15000</v>
      </c>
      <c r="T32">
        <v>90000</v>
      </c>
      <c r="V32">
        <v>500000</v>
      </c>
      <c r="W32" t="s">
        <v>137</v>
      </c>
      <c r="X32" t="s">
        <v>286</v>
      </c>
      <c r="Y32">
        <v>2</v>
      </c>
      <c r="AC32">
        <v>28</v>
      </c>
      <c r="AE32" t="s">
        <v>125</v>
      </c>
      <c r="AF32">
        <v>0.21</v>
      </c>
      <c r="AG32" t="b">
        <v>0</v>
      </c>
      <c r="AH32">
        <v>250000</v>
      </c>
      <c r="AI32" t="s">
        <v>141</v>
      </c>
      <c r="AJ32" t="s">
        <v>142</v>
      </c>
      <c r="AK32" t="s">
        <v>143</v>
      </c>
      <c r="AL32">
        <v>52500</v>
      </c>
      <c r="AM32" t="s">
        <v>144</v>
      </c>
      <c r="AN32" t="s">
        <v>127</v>
      </c>
      <c r="AO32" t="s">
        <v>115</v>
      </c>
      <c r="AP32">
        <v>0</v>
      </c>
      <c r="AQ32">
        <v>3</v>
      </c>
      <c r="AR32">
        <v>13</v>
      </c>
      <c r="AS32">
        <v>1</v>
      </c>
      <c r="AT32">
        <v>0</v>
      </c>
      <c r="AU32">
        <v>1</v>
      </c>
      <c r="AV32">
        <v>2</v>
      </c>
      <c r="AW32">
        <v>1</v>
      </c>
      <c r="AX32">
        <v>1</v>
      </c>
      <c r="AY32">
        <v>0</v>
      </c>
      <c r="AZ32">
        <v>2</v>
      </c>
      <c r="BA32">
        <v>2</v>
      </c>
      <c r="BB32">
        <v>2</v>
      </c>
      <c r="BC32">
        <v>1</v>
      </c>
      <c r="BD32">
        <v>1</v>
      </c>
      <c r="BE32">
        <v>0</v>
      </c>
      <c r="BF32">
        <v>0</v>
      </c>
      <c r="BG32">
        <v>1</v>
      </c>
      <c r="BH32">
        <v>0</v>
      </c>
      <c r="BI32">
        <v>4</v>
      </c>
      <c r="BJ32">
        <v>1</v>
      </c>
      <c r="BK32">
        <v>3</v>
      </c>
      <c r="BL32">
        <v>0</v>
      </c>
      <c r="BM32">
        <v>1</v>
      </c>
      <c r="BN32">
        <v>2</v>
      </c>
      <c r="BO32">
        <v>1</v>
      </c>
      <c r="BP32">
        <v>1</v>
      </c>
      <c r="BQ32">
        <v>0</v>
      </c>
      <c r="BR32">
        <v>0</v>
      </c>
      <c r="BS32">
        <v>3</v>
      </c>
      <c r="BT32">
        <v>0</v>
      </c>
      <c r="BU32">
        <v>1</v>
      </c>
      <c r="BV32">
        <v>4</v>
      </c>
      <c r="BW32">
        <v>1</v>
      </c>
      <c r="BX32">
        <v>1</v>
      </c>
      <c r="BY32">
        <v>1</v>
      </c>
      <c r="BZ32">
        <v>0</v>
      </c>
      <c r="CA32">
        <v>3</v>
      </c>
      <c r="CB32">
        <v>1</v>
      </c>
      <c r="CC32">
        <v>0</v>
      </c>
      <c r="CD32">
        <v>0</v>
      </c>
      <c r="CE32">
        <v>0</v>
      </c>
      <c r="CF32">
        <v>0</v>
      </c>
      <c r="CG32">
        <v>1</v>
      </c>
      <c r="CH32">
        <v>3</v>
      </c>
      <c r="CI32">
        <v>0</v>
      </c>
      <c r="CJ32">
        <v>0</v>
      </c>
      <c r="CK32">
        <v>1</v>
      </c>
      <c r="CL32">
        <v>2</v>
      </c>
      <c r="CM32">
        <v>0</v>
      </c>
      <c r="CN32">
        <v>1</v>
      </c>
      <c r="CO32">
        <v>0</v>
      </c>
      <c r="CP32">
        <v>0</v>
      </c>
      <c r="CQ32">
        <v>0</v>
      </c>
    </row>
    <row r="33" spans="1:95" x14ac:dyDescent="0.25">
      <c r="A33" t="s">
        <v>290</v>
      </c>
      <c r="B33" t="s">
        <v>161</v>
      </c>
      <c r="C33" t="s">
        <v>180</v>
      </c>
      <c r="D33">
        <v>1999</v>
      </c>
      <c r="E33" t="s">
        <v>98</v>
      </c>
      <c r="F33" t="s">
        <v>192</v>
      </c>
      <c r="G33" t="s">
        <v>132</v>
      </c>
      <c r="H33">
        <v>2</v>
      </c>
      <c r="I33">
        <v>0</v>
      </c>
      <c r="J33">
        <v>35</v>
      </c>
      <c r="K33" t="s">
        <v>133</v>
      </c>
      <c r="L33" t="s">
        <v>193</v>
      </c>
      <c r="M33">
        <v>2023</v>
      </c>
      <c r="N33">
        <v>2023</v>
      </c>
      <c r="O33" t="s">
        <v>103</v>
      </c>
      <c r="P33">
        <v>6</v>
      </c>
      <c r="Q33" t="s">
        <v>104</v>
      </c>
      <c r="R33">
        <v>300000</v>
      </c>
      <c r="S33">
        <v>30000</v>
      </c>
      <c r="T33">
        <v>220000</v>
      </c>
      <c r="V33">
        <v>400000</v>
      </c>
      <c r="W33" t="s">
        <v>156</v>
      </c>
      <c r="X33" t="s">
        <v>286</v>
      </c>
      <c r="Y33">
        <v>3</v>
      </c>
      <c r="AA33" t="s">
        <v>291</v>
      </c>
      <c r="AC33">
        <v>18</v>
      </c>
      <c r="AE33" t="s">
        <v>125</v>
      </c>
      <c r="AF33">
        <v>0.75</v>
      </c>
      <c r="AG33" t="b">
        <v>1</v>
      </c>
      <c r="AH33">
        <v>200000</v>
      </c>
      <c r="AI33" t="s">
        <v>190</v>
      </c>
      <c r="AJ33" t="s">
        <v>142</v>
      </c>
      <c r="AK33" t="s">
        <v>143</v>
      </c>
      <c r="AL33">
        <v>150000</v>
      </c>
      <c r="AM33" t="s">
        <v>144</v>
      </c>
      <c r="AN33" t="s">
        <v>127</v>
      </c>
      <c r="AO33" t="s">
        <v>167</v>
      </c>
      <c r="AP33">
        <v>1</v>
      </c>
      <c r="AQ33">
        <v>6</v>
      </c>
      <c r="AR33">
        <v>5</v>
      </c>
      <c r="AS33">
        <v>2</v>
      </c>
      <c r="AT33">
        <v>1</v>
      </c>
      <c r="AU33">
        <v>0</v>
      </c>
      <c r="AV33">
        <v>2</v>
      </c>
      <c r="AW33">
        <v>2</v>
      </c>
      <c r="AX33">
        <v>1</v>
      </c>
      <c r="AY33">
        <v>1</v>
      </c>
      <c r="AZ33">
        <v>2</v>
      </c>
      <c r="BA33">
        <v>0</v>
      </c>
      <c r="BB33">
        <v>1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0</v>
      </c>
      <c r="BI33">
        <v>2</v>
      </c>
      <c r="BJ33">
        <v>0</v>
      </c>
      <c r="BK33">
        <v>0</v>
      </c>
      <c r="BL33">
        <v>0</v>
      </c>
      <c r="BM33">
        <v>1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1</v>
      </c>
      <c r="BU33">
        <v>1</v>
      </c>
      <c r="BV33">
        <v>2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1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</row>
    <row r="34" spans="1:95" x14ac:dyDescent="0.25">
      <c r="A34" t="s">
        <v>292</v>
      </c>
      <c r="B34" t="s">
        <v>293</v>
      </c>
      <c r="C34" t="s">
        <v>118</v>
      </c>
      <c r="D34">
        <v>1960</v>
      </c>
      <c r="E34" t="s">
        <v>98</v>
      </c>
      <c r="F34" t="s">
        <v>198</v>
      </c>
      <c r="G34" t="s">
        <v>294</v>
      </c>
      <c r="H34">
        <v>3</v>
      </c>
      <c r="I34">
        <v>1</v>
      </c>
      <c r="J34">
        <v>40</v>
      </c>
      <c r="K34" t="s">
        <v>101</v>
      </c>
      <c r="L34" t="s">
        <v>295</v>
      </c>
      <c r="M34">
        <v>1999</v>
      </c>
      <c r="N34">
        <v>2021</v>
      </c>
      <c r="O34" t="s">
        <v>103</v>
      </c>
      <c r="P34">
        <v>14</v>
      </c>
      <c r="Q34" t="s">
        <v>104</v>
      </c>
      <c r="R34">
        <v>106000</v>
      </c>
      <c r="S34">
        <v>85000</v>
      </c>
      <c r="T34">
        <v>21000</v>
      </c>
      <c r="V34">
        <v>330000</v>
      </c>
      <c r="W34" t="s">
        <v>137</v>
      </c>
      <c r="X34" t="s">
        <v>252</v>
      </c>
      <c r="Y34">
        <v>2</v>
      </c>
      <c r="AA34" t="s">
        <v>296</v>
      </c>
      <c r="AC34">
        <v>25</v>
      </c>
      <c r="AE34" t="s">
        <v>178</v>
      </c>
      <c r="AF34">
        <v>0.32121212121212123</v>
      </c>
      <c r="AG34" t="b">
        <v>1</v>
      </c>
      <c r="AH34">
        <v>110000</v>
      </c>
      <c r="AI34" t="s">
        <v>141</v>
      </c>
      <c r="AJ34" t="s">
        <v>111</v>
      </c>
      <c r="AK34" t="s">
        <v>143</v>
      </c>
      <c r="AL34">
        <v>35333.333333333343</v>
      </c>
      <c r="AM34" t="s">
        <v>113</v>
      </c>
      <c r="AN34" t="s">
        <v>127</v>
      </c>
      <c r="AO34" t="s">
        <v>167</v>
      </c>
      <c r="AP34">
        <v>1</v>
      </c>
      <c r="AQ34">
        <v>6</v>
      </c>
      <c r="AR34">
        <v>9</v>
      </c>
      <c r="AS34">
        <v>0</v>
      </c>
      <c r="AT34">
        <v>0</v>
      </c>
      <c r="AU34">
        <v>0</v>
      </c>
      <c r="AV34">
        <v>1</v>
      </c>
      <c r="AW34">
        <v>1</v>
      </c>
      <c r="AX34">
        <v>0</v>
      </c>
      <c r="AY34">
        <v>0</v>
      </c>
      <c r="AZ34">
        <v>2</v>
      </c>
      <c r="BA34">
        <v>2</v>
      </c>
      <c r="BB34">
        <v>2</v>
      </c>
      <c r="BC34">
        <v>0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2</v>
      </c>
      <c r="BM34">
        <v>1</v>
      </c>
      <c r="BN34">
        <v>0</v>
      </c>
      <c r="BO34">
        <v>4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1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4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1</v>
      </c>
      <c r="CI34">
        <v>0</v>
      </c>
      <c r="CJ34">
        <v>2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</row>
    <row r="35" spans="1:95" x14ac:dyDescent="0.25">
      <c r="A35" t="s">
        <v>297</v>
      </c>
      <c r="B35" t="s">
        <v>293</v>
      </c>
      <c r="C35" t="s">
        <v>118</v>
      </c>
      <c r="D35">
        <v>2000</v>
      </c>
      <c r="E35" t="s">
        <v>148</v>
      </c>
      <c r="F35" t="s">
        <v>99</v>
      </c>
      <c r="G35" t="s">
        <v>100</v>
      </c>
      <c r="H35">
        <v>3</v>
      </c>
      <c r="I35">
        <v>0</v>
      </c>
      <c r="J35">
        <v>51</v>
      </c>
      <c r="K35" t="s">
        <v>133</v>
      </c>
      <c r="L35" t="s">
        <v>298</v>
      </c>
      <c r="M35">
        <v>2022</v>
      </c>
      <c r="N35">
        <v>2022</v>
      </c>
      <c r="O35" t="s">
        <v>103</v>
      </c>
      <c r="P35">
        <v>3</v>
      </c>
      <c r="Q35" t="s">
        <v>120</v>
      </c>
      <c r="R35">
        <v>325000</v>
      </c>
      <c r="S35">
        <v>25000</v>
      </c>
      <c r="U35">
        <v>300000</v>
      </c>
      <c r="W35" t="s">
        <v>137</v>
      </c>
      <c r="X35" t="s">
        <v>151</v>
      </c>
      <c r="Y35">
        <v>0</v>
      </c>
      <c r="AC35">
        <v>28</v>
      </c>
      <c r="AE35" t="s">
        <v>140</v>
      </c>
      <c r="AI35" t="s">
        <v>110</v>
      </c>
      <c r="AJ35" t="s">
        <v>142</v>
      </c>
      <c r="AK35" t="s">
        <v>112</v>
      </c>
      <c r="AL35">
        <v>108333.3333333333</v>
      </c>
      <c r="AM35" t="s">
        <v>126</v>
      </c>
      <c r="AN35" t="s">
        <v>127</v>
      </c>
      <c r="AP35">
        <v>0</v>
      </c>
      <c r="AQ35">
        <v>4</v>
      </c>
      <c r="AR35">
        <v>10</v>
      </c>
      <c r="AS35">
        <v>1</v>
      </c>
      <c r="AT35">
        <v>2</v>
      </c>
      <c r="AU35">
        <v>0</v>
      </c>
      <c r="AV35">
        <v>2</v>
      </c>
      <c r="AW35">
        <v>1</v>
      </c>
      <c r="AX35">
        <v>0</v>
      </c>
      <c r="AY35">
        <v>0</v>
      </c>
      <c r="AZ35">
        <v>1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1</v>
      </c>
      <c r="BK35">
        <v>0</v>
      </c>
      <c r="BL35">
        <v>0</v>
      </c>
      <c r="BM35">
        <v>1</v>
      </c>
      <c r="BN35">
        <v>0</v>
      </c>
      <c r="BO35">
        <v>3</v>
      </c>
      <c r="BP35">
        <v>0</v>
      </c>
      <c r="BQ35">
        <v>1</v>
      </c>
      <c r="BR35">
        <v>0</v>
      </c>
      <c r="BS35">
        <v>1</v>
      </c>
      <c r="BT35">
        <v>0</v>
      </c>
      <c r="BU35">
        <v>1</v>
      </c>
      <c r="BV35">
        <v>3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2</v>
      </c>
      <c r="CC35">
        <v>0</v>
      </c>
      <c r="CD35">
        <v>0</v>
      </c>
      <c r="CE35">
        <v>1</v>
      </c>
      <c r="CF35">
        <v>0</v>
      </c>
      <c r="CG35">
        <v>1</v>
      </c>
      <c r="CH35">
        <v>2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</row>
    <row r="36" spans="1:95" x14ac:dyDescent="0.25">
      <c r="A36" t="s">
        <v>299</v>
      </c>
      <c r="B36" t="s">
        <v>226</v>
      </c>
      <c r="C36" t="s">
        <v>97</v>
      </c>
      <c r="D36">
        <v>1991</v>
      </c>
      <c r="E36" t="s">
        <v>148</v>
      </c>
      <c r="F36" t="s">
        <v>131</v>
      </c>
      <c r="G36" t="s">
        <v>100</v>
      </c>
      <c r="H36">
        <v>1</v>
      </c>
      <c r="I36">
        <v>0</v>
      </c>
      <c r="J36">
        <v>57</v>
      </c>
      <c r="K36" t="s">
        <v>101</v>
      </c>
      <c r="L36" t="s">
        <v>300</v>
      </c>
      <c r="M36">
        <v>2023</v>
      </c>
      <c r="N36">
        <v>2023</v>
      </c>
      <c r="O36" t="s">
        <v>103</v>
      </c>
      <c r="P36">
        <v>7</v>
      </c>
      <c r="Q36" t="s">
        <v>104</v>
      </c>
      <c r="R36">
        <v>40000</v>
      </c>
      <c r="S36">
        <v>40000</v>
      </c>
      <c r="W36" t="s">
        <v>137</v>
      </c>
      <c r="X36" t="s">
        <v>264</v>
      </c>
      <c r="Y36">
        <v>3</v>
      </c>
      <c r="AA36" t="s">
        <v>301</v>
      </c>
      <c r="AB36" t="s">
        <v>302</v>
      </c>
      <c r="AC36">
        <v>33</v>
      </c>
      <c r="AE36" t="s">
        <v>140</v>
      </c>
      <c r="AI36" t="s">
        <v>141</v>
      </c>
      <c r="AJ36" t="s">
        <v>159</v>
      </c>
      <c r="AK36" t="s">
        <v>112</v>
      </c>
      <c r="AL36">
        <v>40000</v>
      </c>
      <c r="AM36" t="s">
        <v>126</v>
      </c>
      <c r="AN36" t="s">
        <v>127</v>
      </c>
      <c r="AP36">
        <v>0</v>
      </c>
      <c r="AQ36">
        <v>3</v>
      </c>
      <c r="AR36">
        <v>6</v>
      </c>
      <c r="AS36">
        <v>0</v>
      </c>
      <c r="AT36">
        <v>1</v>
      </c>
      <c r="AU36">
        <v>1</v>
      </c>
      <c r="AV36">
        <v>1</v>
      </c>
      <c r="AW36">
        <v>0</v>
      </c>
      <c r="AX36">
        <v>1</v>
      </c>
      <c r="AY36">
        <v>0</v>
      </c>
      <c r="AZ36">
        <v>1</v>
      </c>
      <c r="BA36">
        <v>2</v>
      </c>
      <c r="BB36">
        <v>0</v>
      </c>
      <c r="BC36">
        <v>1</v>
      </c>
      <c r="BD36">
        <v>1</v>
      </c>
      <c r="BE36">
        <v>0</v>
      </c>
      <c r="BF36">
        <v>0</v>
      </c>
      <c r="BG36">
        <v>1</v>
      </c>
      <c r="BH36">
        <v>1</v>
      </c>
      <c r="BI36">
        <v>3</v>
      </c>
      <c r="BJ36">
        <v>1</v>
      </c>
      <c r="BK36">
        <v>1</v>
      </c>
      <c r="BL36">
        <v>0</v>
      </c>
      <c r="BM36">
        <v>1</v>
      </c>
      <c r="BN36">
        <v>0</v>
      </c>
      <c r="BO36">
        <v>0</v>
      </c>
      <c r="BP36">
        <v>0</v>
      </c>
      <c r="BQ36">
        <v>2</v>
      </c>
      <c r="BR36">
        <v>1</v>
      </c>
      <c r="BS36">
        <v>0</v>
      </c>
      <c r="BT36">
        <v>0</v>
      </c>
      <c r="BU36">
        <v>1</v>
      </c>
      <c r="BV36">
        <v>2</v>
      </c>
      <c r="BW36">
        <v>1</v>
      </c>
      <c r="BX36">
        <v>1</v>
      </c>
      <c r="BY36">
        <v>0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2</v>
      </c>
      <c r="CI36">
        <v>2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</row>
    <row r="37" spans="1:95" x14ac:dyDescent="0.25">
      <c r="A37" t="s">
        <v>303</v>
      </c>
      <c r="B37" t="s">
        <v>304</v>
      </c>
      <c r="C37" t="s">
        <v>162</v>
      </c>
      <c r="D37">
        <v>1992</v>
      </c>
      <c r="E37" t="s">
        <v>98</v>
      </c>
      <c r="F37" t="s">
        <v>131</v>
      </c>
      <c r="G37" t="s">
        <v>132</v>
      </c>
      <c r="H37">
        <v>2</v>
      </c>
      <c r="I37">
        <v>0</v>
      </c>
      <c r="J37">
        <v>68</v>
      </c>
      <c r="K37" t="s">
        <v>101</v>
      </c>
      <c r="L37" t="s">
        <v>305</v>
      </c>
      <c r="M37">
        <v>2019</v>
      </c>
      <c r="N37">
        <v>2021</v>
      </c>
      <c r="O37" t="s">
        <v>103</v>
      </c>
      <c r="P37">
        <v>8</v>
      </c>
      <c r="Q37" t="s">
        <v>150</v>
      </c>
      <c r="R37">
        <v>210000</v>
      </c>
      <c r="S37">
        <v>40000</v>
      </c>
      <c r="T37">
        <v>168000</v>
      </c>
      <c r="V37">
        <v>730000</v>
      </c>
      <c r="W37" t="s">
        <v>137</v>
      </c>
      <c r="X37" t="s">
        <v>106</v>
      </c>
      <c r="Y37">
        <v>1</v>
      </c>
      <c r="AA37" t="s">
        <v>306</v>
      </c>
      <c r="AB37" t="s">
        <v>307</v>
      </c>
      <c r="AE37" t="s">
        <v>109</v>
      </c>
      <c r="AF37">
        <v>0.28767123287671231</v>
      </c>
      <c r="AG37" t="b">
        <v>0</v>
      </c>
      <c r="AH37">
        <v>365000</v>
      </c>
      <c r="AI37" t="s">
        <v>141</v>
      </c>
      <c r="AJ37" t="s">
        <v>159</v>
      </c>
      <c r="AK37" t="s">
        <v>143</v>
      </c>
      <c r="AL37">
        <v>105000</v>
      </c>
      <c r="AM37" t="s">
        <v>144</v>
      </c>
      <c r="AN37" t="s">
        <v>127</v>
      </c>
      <c r="AO37" t="s">
        <v>128</v>
      </c>
      <c r="AP37">
        <v>0</v>
      </c>
      <c r="AQ37">
        <v>5</v>
      </c>
      <c r="AR37">
        <v>18</v>
      </c>
      <c r="AS37">
        <v>0</v>
      </c>
      <c r="AT37">
        <v>1</v>
      </c>
      <c r="AU37">
        <v>0</v>
      </c>
      <c r="AV37">
        <v>0</v>
      </c>
      <c r="AW37">
        <v>3</v>
      </c>
      <c r="AX37">
        <v>1</v>
      </c>
      <c r="AY37">
        <v>2</v>
      </c>
      <c r="AZ37">
        <v>2</v>
      </c>
      <c r="BA37">
        <v>0</v>
      </c>
      <c r="BB37">
        <v>2</v>
      </c>
      <c r="BC37">
        <v>0</v>
      </c>
      <c r="BD37">
        <v>5</v>
      </c>
      <c r="BE37">
        <v>0</v>
      </c>
      <c r="BF37">
        <v>1</v>
      </c>
      <c r="BG37">
        <v>0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1</v>
      </c>
      <c r="BN37">
        <v>2</v>
      </c>
      <c r="BO37">
        <v>1</v>
      </c>
      <c r="BP37">
        <v>0</v>
      </c>
      <c r="BQ37">
        <v>0</v>
      </c>
      <c r="BR37">
        <v>1</v>
      </c>
      <c r="BS37">
        <v>0</v>
      </c>
      <c r="BT37">
        <v>1</v>
      </c>
      <c r="BU37">
        <v>0</v>
      </c>
      <c r="BV37">
        <v>1</v>
      </c>
      <c r="BW37">
        <v>1</v>
      </c>
      <c r="BX37">
        <v>0</v>
      </c>
      <c r="BY37">
        <v>0</v>
      </c>
      <c r="BZ37">
        <v>1</v>
      </c>
      <c r="CA37">
        <v>0</v>
      </c>
      <c r="CB37">
        <v>3</v>
      </c>
      <c r="CC37">
        <v>2</v>
      </c>
      <c r="CD37">
        <v>0</v>
      </c>
      <c r="CE37">
        <v>0</v>
      </c>
      <c r="CF37">
        <v>0</v>
      </c>
      <c r="CG37">
        <v>1</v>
      </c>
      <c r="CH37">
        <v>2</v>
      </c>
      <c r="CI37">
        <v>0</v>
      </c>
      <c r="CJ37">
        <v>1</v>
      </c>
      <c r="CK37">
        <v>0</v>
      </c>
      <c r="CL37">
        <v>3</v>
      </c>
      <c r="CM37">
        <v>0</v>
      </c>
      <c r="CN37">
        <v>0</v>
      </c>
      <c r="CO37">
        <v>0</v>
      </c>
      <c r="CP37">
        <v>0</v>
      </c>
      <c r="CQ37">
        <v>0</v>
      </c>
    </row>
    <row r="38" spans="1:95" x14ac:dyDescent="0.25">
      <c r="A38" t="s">
        <v>308</v>
      </c>
      <c r="B38" t="s">
        <v>304</v>
      </c>
      <c r="C38" t="s">
        <v>185</v>
      </c>
      <c r="D38">
        <v>2005</v>
      </c>
      <c r="E38" t="s">
        <v>148</v>
      </c>
      <c r="F38" t="s">
        <v>131</v>
      </c>
      <c r="G38" t="s">
        <v>294</v>
      </c>
      <c r="H38">
        <v>4</v>
      </c>
      <c r="I38">
        <v>2</v>
      </c>
      <c r="J38">
        <v>50</v>
      </c>
      <c r="K38" t="s">
        <v>101</v>
      </c>
      <c r="L38" t="s">
        <v>222</v>
      </c>
      <c r="M38">
        <v>2016</v>
      </c>
      <c r="N38">
        <v>2024</v>
      </c>
      <c r="O38" t="s">
        <v>103</v>
      </c>
      <c r="P38">
        <v>8</v>
      </c>
      <c r="Q38" t="s">
        <v>150</v>
      </c>
      <c r="R38">
        <v>95000</v>
      </c>
      <c r="S38">
        <v>50000</v>
      </c>
      <c r="T38">
        <v>90000</v>
      </c>
      <c r="V38">
        <v>500000</v>
      </c>
      <c r="W38" t="s">
        <v>121</v>
      </c>
      <c r="X38" t="s">
        <v>252</v>
      </c>
      <c r="Y38">
        <v>3</v>
      </c>
      <c r="AA38" t="s">
        <v>309</v>
      </c>
      <c r="AC38">
        <v>24</v>
      </c>
      <c r="AD38" t="s">
        <v>310</v>
      </c>
      <c r="AE38" t="s">
        <v>178</v>
      </c>
      <c r="AF38">
        <v>0.19</v>
      </c>
      <c r="AG38" t="b">
        <v>0</v>
      </c>
      <c r="AH38">
        <v>125000</v>
      </c>
      <c r="AI38" t="s">
        <v>141</v>
      </c>
      <c r="AJ38" t="s">
        <v>142</v>
      </c>
      <c r="AK38" t="s">
        <v>143</v>
      </c>
      <c r="AL38">
        <v>23750</v>
      </c>
      <c r="AM38" t="s">
        <v>144</v>
      </c>
      <c r="AN38" t="s">
        <v>145</v>
      </c>
      <c r="AO38" t="s">
        <v>167</v>
      </c>
      <c r="AP38">
        <v>0</v>
      </c>
      <c r="AQ38">
        <v>3</v>
      </c>
      <c r="AR38">
        <v>3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1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0</v>
      </c>
      <c r="BO38">
        <v>1</v>
      </c>
      <c r="BP38">
        <v>0</v>
      </c>
      <c r="BQ38">
        <v>0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1</v>
      </c>
      <c r="CQ38">
        <v>0</v>
      </c>
    </row>
    <row r="39" spans="1:95" x14ac:dyDescent="0.25">
      <c r="A39" t="s">
        <v>311</v>
      </c>
      <c r="B39" t="s">
        <v>304</v>
      </c>
      <c r="C39" t="s">
        <v>185</v>
      </c>
      <c r="D39">
        <v>1946</v>
      </c>
      <c r="E39" t="s">
        <v>98</v>
      </c>
      <c r="F39" t="s">
        <v>99</v>
      </c>
      <c r="G39" t="s">
        <v>100</v>
      </c>
      <c r="H39">
        <v>1</v>
      </c>
      <c r="I39">
        <v>0</v>
      </c>
      <c r="J39">
        <v>75</v>
      </c>
      <c r="K39" t="s">
        <v>101</v>
      </c>
      <c r="L39" t="s">
        <v>312</v>
      </c>
      <c r="M39">
        <v>1990</v>
      </c>
      <c r="N39">
        <v>1990</v>
      </c>
      <c r="O39" t="s">
        <v>313</v>
      </c>
      <c r="Q39" t="s">
        <v>314</v>
      </c>
      <c r="R39">
        <v>50000</v>
      </c>
      <c r="S39">
        <v>13000</v>
      </c>
      <c r="V39">
        <v>150000</v>
      </c>
      <c r="W39" t="s">
        <v>121</v>
      </c>
      <c r="X39" t="s">
        <v>210</v>
      </c>
      <c r="Y39">
        <v>3</v>
      </c>
      <c r="AC39">
        <v>85</v>
      </c>
      <c r="AE39" t="s">
        <v>140</v>
      </c>
      <c r="AF39">
        <v>0.33333333333333331</v>
      </c>
      <c r="AG39" t="b">
        <v>1</v>
      </c>
      <c r="AH39">
        <v>150000</v>
      </c>
      <c r="AI39" t="s">
        <v>110</v>
      </c>
      <c r="AJ39" t="s">
        <v>166</v>
      </c>
      <c r="AK39" t="s">
        <v>112</v>
      </c>
      <c r="AL39">
        <v>50000</v>
      </c>
      <c r="AM39" t="s">
        <v>113</v>
      </c>
      <c r="AN39" t="s">
        <v>171</v>
      </c>
      <c r="AO39" t="s">
        <v>167</v>
      </c>
      <c r="AP39">
        <v>1</v>
      </c>
      <c r="AQ39">
        <v>12</v>
      </c>
      <c r="AR39">
        <v>5</v>
      </c>
      <c r="AS39">
        <v>2</v>
      </c>
      <c r="AT39">
        <v>0</v>
      </c>
      <c r="AU39">
        <v>0</v>
      </c>
      <c r="AV39">
        <v>1</v>
      </c>
      <c r="AW39">
        <v>0</v>
      </c>
      <c r="AX39">
        <v>1</v>
      </c>
      <c r="AY39">
        <v>3</v>
      </c>
      <c r="AZ39">
        <v>1</v>
      </c>
      <c r="BA39">
        <v>0</v>
      </c>
      <c r="BB39">
        <v>1</v>
      </c>
      <c r="BC39">
        <v>2</v>
      </c>
      <c r="BD39">
        <v>4</v>
      </c>
      <c r="BE39">
        <v>2</v>
      </c>
      <c r="BF39">
        <v>0</v>
      </c>
      <c r="BG39">
        <v>0</v>
      </c>
      <c r="BH39">
        <v>0</v>
      </c>
      <c r="BI39">
        <v>1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</v>
      </c>
      <c r="BQ39">
        <v>0</v>
      </c>
      <c r="BR39">
        <v>1</v>
      </c>
      <c r="BS39">
        <v>0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1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1</v>
      </c>
      <c r="CP39">
        <v>0</v>
      </c>
      <c r="CQ39">
        <v>0</v>
      </c>
    </row>
    <row r="40" spans="1:95" x14ac:dyDescent="0.25">
      <c r="A40" t="s">
        <v>315</v>
      </c>
      <c r="B40" t="s">
        <v>304</v>
      </c>
      <c r="C40" t="s">
        <v>161</v>
      </c>
      <c r="D40">
        <v>1956</v>
      </c>
      <c r="E40" t="s">
        <v>148</v>
      </c>
      <c r="F40" t="s">
        <v>186</v>
      </c>
      <c r="G40" t="s">
        <v>100</v>
      </c>
      <c r="H40">
        <v>2</v>
      </c>
      <c r="I40">
        <v>0</v>
      </c>
      <c r="J40">
        <v>80</v>
      </c>
      <c r="K40" t="s">
        <v>101</v>
      </c>
      <c r="L40" t="s">
        <v>316</v>
      </c>
      <c r="M40">
        <v>1989</v>
      </c>
      <c r="N40">
        <v>1989</v>
      </c>
      <c r="O40" t="s">
        <v>103</v>
      </c>
      <c r="P40">
        <v>5</v>
      </c>
      <c r="Q40" t="s">
        <v>216</v>
      </c>
      <c r="R40">
        <v>70000</v>
      </c>
      <c r="S40">
        <v>70000</v>
      </c>
      <c r="W40" t="s">
        <v>105</v>
      </c>
      <c r="X40" t="s">
        <v>317</v>
      </c>
      <c r="Y40">
        <v>2</v>
      </c>
      <c r="AA40" t="s">
        <v>318</v>
      </c>
      <c r="AD40" t="s">
        <v>319</v>
      </c>
      <c r="AE40" t="s">
        <v>140</v>
      </c>
      <c r="AI40" t="s">
        <v>190</v>
      </c>
      <c r="AJ40" t="s">
        <v>166</v>
      </c>
      <c r="AK40" t="s">
        <v>112</v>
      </c>
      <c r="AL40">
        <v>35000</v>
      </c>
      <c r="AM40" t="s">
        <v>113</v>
      </c>
      <c r="AN40" t="s">
        <v>171</v>
      </c>
      <c r="AP40">
        <v>0</v>
      </c>
      <c r="AQ40">
        <v>5</v>
      </c>
      <c r="AR40">
        <v>5</v>
      </c>
      <c r="AS40">
        <v>1</v>
      </c>
      <c r="AT40">
        <v>0</v>
      </c>
      <c r="AU40">
        <v>0</v>
      </c>
      <c r="AV40">
        <v>0</v>
      </c>
      <c r="AW40">
        <v>1</v>
      </c>
      <c r="AX40">
        <v>1</v>
      </c>
      <c r="AY40">
        <v>0</v>
      </c>
      <c r="AZ40">
        <v>1</v>
      </c>
      <c r="BA40">
        <v>0</v>
      </c>
      <c r="BB40">
        <v>1</v>
      </c>
      <c r="BC40">
        <v>1</v>
      </c>
      <c r="BD40">
        <v>1</v>
      </c>
      <c r="BE40">
        <v>0</v>
      </c>
      <c r="BF40">
        <v>1</v>
      </c>
      <c r="BG40">
        <v>0</v>
      </c>
      <c r="BH40">
        <v>0</v>
      </c>
      <c r="BI40">
        <v>3</v>
      </c>
      <c r="BJ40">
        <v>0</v>
      </c>
      <c r="BK40">
        <v>2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1</v>
      </c>
      <c r="BT40">
        <v>2</v>
      </c>
      <c r="BU40">
        <v>0</v>
      </c>
      <c r="BV40">
        <v>2</v>
      </c>
      <c r="BW40">
        <v>1</v>
      </c>
      <c r="BX40">
        <v>1</v>
      </c>
      <c r="BY40">
        <v>0</v>
      </c>
      <c r="BZ40">
        <v>1</v>
      </c>
      <c r="CA40">
        <v>2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1</v>
      </c>
      <c r="CI40">
        <v>0</v>
      </c>
      <c r="CJ40">
        <v>2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</row>
    <row r="41" spans="1:95" x14ac:dyDescent="0.25">
      <c r="A41" t="s">
        <v>320</v>
      </c>
      <c r="B41" t="s">
        <v>304</v>
      </c>
      <c r="C41" t="s">
        <v>161</v>
      </c>
      <c r="D41">
        <v>1990</v>
      </c>
      <c r="E41" t="s">
        <v>148</v>
      </c>
      <c r="F41" t="s">
        <v>99</v>
      </c>
      <c r="G41" t="s">
        <v>100</v>
      </c>
      <c r="H41">
        <v>2</v>
      </c>
      <c r="I41">
        <v>0</v>
      </c>
      <c r="J41">
        <v>27</v>
      </c>
      <c r="K41" t="s">
        <v>133</v>
      </c>
      <c r="L41" t="s">
        <v>321</v>
      </c>
      <c r="M41">
        <v>2017</v>
      </c>
      <c r="N41">
        <v>2018</v>
      </c>
      <c r="O41" t="s">
        <v>322</v>
      </c>
      <c r="Q41" t="s">
        <v>248</v>
      </c>
      <c r="R41">
        <v>40000</v>
      </c>
      <c r="S41">
        <v>25000</v>
      </c>
      <c r="W41" t="s">
        <v>137</v>
      </c>
      <c r="X41" t="s">
        <v>175</v>
      </c>
      <c r="Y41">
        <v>4</v>
      </c>
      <c r="Z41" t="s">
        <v>323</v>
      </c>
      <c r="AA41" t="s">
        <v>324</v>
      </c>
      <c r="AE41" t="s">
        <v>178</v>
      </c>
      <c r="AI41" t="s">
        <v>110</v>
      </c>
      <c r="AJ41" t="s">
        <v>159</v>
      </c>
      <c r="AK41" t="s">
        <v>112</v>
      </c>
      <c r="AL41">
        <v>20000</v>
      </c>
      <c r="AM41" t="s">
        <v>126</v>
      </c>
      <c r="AN41" t="s">
        <v>127</v>
      </c>
      <c r="AP41">
        <v>0</v>
      </c>
      <c r="AQ41">
        <v>5</v>
      </c>
      <c r="AR41">
        <v>7</v>
      </c>
      <c r="AS41">
        <v>0</v>
      </c>
      <c r="AT41">
        <v>1</v>
      </c>
      <c r="AU41">
        <v>0</v>
      </c>
      <c r="AV41">
        <v>1</v>
      </c>
      <c r="AW41">
        <v>1</v>
      </c>
      <c r="AX41">
        <v>3</v>
      </c>
      <c r="AY41">
        <v>1</v>
      </c>
      <c r="AZ41">
        <v>1</v>
      </c>
      <c r="BA41">
        <v>1</v>
      </c>
      <c r="BB41">
        <v>1</v>
      </c>
      <c r="BC41">
        <v>0</v>
      </c>
      <c r="BD41">
        <v>1</v>
      </c>
      <c r="BE41">
        <v>1</v>
      </c>
      <c r="BF41">
        <v>0</v>
      </c>
      <c r="BG41">
        <v>1</v>
      </c>
      <c r="BH41">
        <v>0</v>
      </c>
      <c r="BI41">
        <v>2</v>
      </c>
      <c r="BJ41">
        <v>0</v>
      </c>
      <c r="BK41">
        <v>0</v>
      </c>
      <c r="BL41">
        <v>0</v>
      </c>
      <c r="BM41">
        <v>1</v>
      </c>
      <c r="BN41">
        <v>1</v>
      </c>
      <c r="BO41">
        <v>0</v>
      </c>
      <c r="BP41">
        <v>0</v>
      </c>
      <c r="BQ41">
        <v>1</v>
      </c>
      <c r="BR41">
        <v>1</v>
      </c>
      <c r="BS41">
        <v>1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1</v>
      </c>
      <c r="BZ41">
        <v>1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1</v>
      </c>
      <c r="CH41">
        <v>0</v>
      </c>
      <c r="CI41">
        <v>0</v>
      </c>
      <c r="CJ41">
        <v>0</v>
      </c>
      <c r="CK41">
        <v>0</v>
      </c>
      <c r="CL41">
        <v>1</v>
      </c>
      <c r="CM41">
        <v>0</v>
      </c>
      <c r="CN41">
        <v>0</v>
      </c>
      <c r="CO41">
        <v>1</v>
      </c>
      <c r="CP41">
        <v>0</v>
      </c>
      <c r="CQ41">
        <v>0</v>
      </c>
    </row>
    <row r="42" spans="1:95" x14ac:dyDescent="0.25">
      <c r="A42" t="s">
        <v>325</v>
      </c>
      <c r="B42" t="s">
        <v>304</v>
      </c>
      <c r="C42" t="s">
        <v>326</v>
      </c>
      <c r="D42">
        <v>1999</v>
      </c>
      <c r="E42" t="s">
        <v>98</v>
      </c>
      <c r="F42" t="s">
        <v>99</v>
      </c>
      <c r="G42" t="s">
        <v>132</v>
      </c>
      <c r="H42">
        <v>1</v>
      </c>
      <c r="I42">
        <v>0</v>
      </c>
      <c r="J42">
        <v>36</v>
      </c>
      <c r="K42" t="s">
        <v>133</v>
      </c>
      <c r="L42" t="s">
        <v>199</v>
      </c>
      <c r="M42">
        <v>2025</v>
      </c>
      <c r="N42">
        <v>2025</v>
      </c>
      <c r="O42" t="s">
        <v>103</v>
      </c>
      <c r="P42">
        <v>9</v>
      </c>
      <c r="Q42" t="s">
        <v>104</v>
      </c>
      <c r="R42">
        <v>240000</v>
      </c>
      <c r="S42">
        <v>20000</v>
      </c>
      <c r="T42">
        <v>220000</v>
      </c>
      <c r="W42" t="s">
        <v>137</v>
      </c>
      <c r="X42" t="s">
        <v>269</v>
      </c>
      <c r="Y42">
        <v>5</v>
      </c>
      <c r="AC42">
        <v>28</v>
      </c>
      <c r="AD42" t="s">
        <v>327</v>
      </c>
      <c r="AE42" t="s">
        <v>178</v>
      </c>
      <c r="AI42" t="s">
        <v>110</v>
      </c>
      <c r="AJ42" t="s">
        <v>142</v>
      </c>
      <c r="AK42" t="s">
        <v>143</v>
      </c>
      <c r="AL42">
        <v>240000</v>
      </c>
      <c r="AM42" t="s">
        <v>144</v>
      </c>
      <c r="AN42" t="s">
        <v>145</v>
      </c>
      <c r="AP42">
        <v>1</v>
      </c>
      <c r="AQ42">
        <v>0</v>
      </c>
      <c r="AR42">
        <v>4</v>
      </c>
      <c r="AS42">
        <v>1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1</v>
      </c>
      <c r="BA42">
        <v>2</v>
      </c>
      <c r="BB42">
        <v>1</v>
      </c>
      <c r="BC42">
        <v>1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0</v>
      </c>
      <c r="BO42">
        <v>0</v>
      </c>
      <c r="BP42">
        <v>1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2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</row>
    <row r="43" spans="1:95" x14ac:dyDescent="0.25">
      <c r="A43" t="s">
        <v>328</v>
      </c>
      <c r="B43" t="s">
        <v>304</v>
      </c>
      <c r="C43" t="s">
        <v>326</v>
      </c>
      <c r="D43">
        <v>1957</v>
      </c>
      <c r="E43" t="s">
        <v>98</v>
      </c>
      <c r="F43" t="s">
        <v>131</v>
      </c>
      <c r="G43" t="s">
        <v>100</v>
      </c>
      <c r="H43">
        <v>3</v>
      </c>
      <c r="I43">
        <v>0</v>
      </c>
      <c r="J43">
        <v>56</v>
      </c>
      <c r="K43" t="s">
        <v>101</v>
      </c>
      <c r="L43" t="s">
        <v>329</v>
      </c>
      <c r="M43">
        <v>1982</v>
      </c>
      <c r="N43">
        <v>1982</v>
      </c>
      <c r="O43" t="s">
        <v>103</v>
      </c>
      <c r="P43">
        <v>22</v>
      </c>
      <c r="Q43" t="s">
        <v>120</v>
      </c>
      <c r="R43">
        <v>75000</v>
      </c>
      <c r="S43">
        <v>75000</v>
      </c>
      <c r="V43">
        <v>300000</v>
      </c>
      <c r="W43" t="s">
        <v>137</v>
      </c>
      <c r="X43" t="s">
        <v>269</v>
      </c>
      <c r="Y43">
        <v>5</v>
      </c>
      <c r="AC43">
        <v>35</v>
      </c>
      <c r="AD43" t="s">
        <v>330</v>
      </c>
      <c r="AE43" t="s">
        <v>178</v>
      </c>
      <c r="AF43">
        <v>0.25</v>
      </c>
      <c r="AG43" t="b">
        <v>0</v>
      </c>
      <c r="AH43">
        <v>100000</v>
      </c>
      <c r="AI43" t="s">
        <v>141</v>
      </c>
      <c r="AJ43" t="s">
        <v>166</v>
      </c>
      <c r="AK43" t="s">
        <v>112</v>
      </c>
      <c r="AL43">
        <v>25000</v>
      </c>
      <c r="AM43" t="s">
        <v>113</v>
      </c>
      <c r="AN43" t="s">
        <v>171</v>
      </c>
      <c r="AO43" t="s">
        <v>167</v>
      </c>
      <c r="AP43">
        <v>1</v>
      </c>
      <c r="AQ43">
        <v>9</v>
      </c>
      <c r="AR43">
        <v>3</v>
      </c>
      <c r="AS43">
        <v>0</v>
      </c>
      <c r="AT43">
        <v>0</v>
      </c>
      <c r="AU43">
        <v>0</v>
      </c>
      <c r="AV43">
        <v>2</v>
      </c>
      <c r="AW43">
        <v>1</v>
      </c>
      <c r="AX43">
        <v>1</v>
      </c>
      <c r="AY43">
        <v>1</v>
      </c>
      <c r="AZ43">
        <v>1</v>
      </c>
      <c r="BA43">
        <v>0</v>
      </c>
      <c r="BB43">
        <v>1</v>
      </c>
      <c r="BC43">
        <v>3</v>
      </c>
      <c r="BD43">
        <v>1</v>
      </c>
      <c r="BE43">
        <v>1</v>
      </c>
      <c r="BF43">
        <v>0</v>
      </c>
      <c r="BG43">
        <v>0</v>
      </c>
      <c r="BH43">
        <v>0</v>
      </c>
      <c r="BI43">
        <v>3</v>
      </c>
      <c r="BJ43">
        <v>1</v>
      </c>
      <c r="BK43">
        <v>1</v>
      </c>
      <c r="BL43">
        <v>0</v>
      </c>
      <c r="BM43">
        <v>2</v>
      </c>
      <c r="BN43">
        <v>0</v>
      </c>
      <c r="BO43">
        <v>0</v>
      </c>
      <c r="BP43">
        <v>0</v>
      </c>
      <c r="BQ43">
        <v>1</v>
      </c>
      <c r="BR43">
        <v>1</v>
      </c>
      <c r="BS43">
        <v>1</v>
      </c>
      <c r="BT43">
        <v>1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2</v>
      </c>
      <c r="CC43">
        <v>0</v>
      </c>
      <c r="CD43">
        <v>0</v>
      </c>
      <c r="CE43">
        <v>0</v>
      </c>
      <c r="CF43">
        <v>1</v>
      </c>
      <c r="CG43">
        <v>0</v>
      </c>
      <c r="CH43">
        <v>2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</row>
    <row r="44" spans="1:95" x14ac:dyDescent="0.25">
      <c r="A44" t="s">
        <v>331</v>
      </c>
      <c r="B44" t="s">
        <v>154</v>
      </c>
      <c r="C44" t="s">
        <v>162</v>
      </c>
      <c r="D44">
        <v>1970</v>
      </c>
      <c r="E44" t="s">
        <v>98</v>
      </c>
      <c r="F44" t="s">
        <v>99</v>
      </c>
      <c r="G44" t="s">
        <v>100</v>
      </c>
      <c r="H44">
        <v>3</v>
      </c>
      <c r="I44">
        <v>1</v>
      </c>
      <c r="J44">
        <v>53</v>
      </c>
      <c r="K44" t="s">
        <v>133</v>
      </c>
      <c r="L44" t="s">
        <v>332</v>
      </c>
      <c r="M44">
        <v>2003</v>
      </c>
      <c r="N44">
        <v>2003</v>
      </c>
      <c r="O44" t="s">
        <v>103</v>
      </c>
      <c r="P44">
        <v>11</v>
      </c>
      <c r="Q44" t="s">
        <v>120</v>
      </c>
      <c r="R44">
        <v>188000</v>
      </c>
      <c r="S44">
        <v>150000</v>
      </c>
      <c r="U44">
        <v>38000</v>
      </c>
      <c r="V44">
        <v>650000</v>
      </c>
      <c r="W44" t="s">
        <v>156</v>
      </c>
      <c r="X44" t="s">
        <v>175</v>
      </c>
      <c r="Y44">
        <v>3</v>
      </c>
      <c r="AA44" t="s">
        <v>333</v>
      </c>
      <c r="AB44" t="s">
        <v>334</v>
      </c>
      <c r="AC44">
        <v>53</v>
      </c>
      <c r="AE44" t="s">
        <v>178</v>
      </c>
      <c r="AF44">
        <v>0.28923076923076918</v>
      </c>
      <c r="AG44" t="b">
        <v>0</v>
      </c>
      <c r="AH44">
        <v>216666.66666666669</v>
      </c>
      <c r="AI44" t="s">
        <v>110</v>
      </c>
      <c r="AJ44" t="s">
        <v>111</v>
      </c>
      <c r="AK44" t="s">
        <v>112</v>
      </c>
      <c r="AL44">
        <v>62666.666666666657</v>
      </c>
      <c r="AM44" t="s">
        <v>126</v>
      </c>
      <c r="AN44" t="s">
        <v>114</v>
      </c>
      <c r="AO44" t="s">
        <v>115</v>
      </c>
      <c r="AP44">
        <v>0</v>
      </c>
      <c r="AQ44">
        <v>8</v>
      </c>
      <c r="AR44">
        <v>17</v>
      </c>
      <c r="AS44">
        <v>0</v>
      </c>
      <c r="AT44">
        <v>1</v>
      </c>
      <c r="AU44">
        <v>0</v>
      </c>
      <c r="AV44">
        <v>3</v>
      </c>
      <c r="AW44">
        <v>2</v>
      </c>
      <c r="AX44">
        <v>3</v>
      </c>
      <c r="AY44">
        <v>2</v>
      </c>
      <c r="AZ44">
        <v>1</v>
      </c>
      <c r="BA44">
        <v>1</v>
      </c>
      <c r="BB44">
        <v>2</v>
      </c>
      <c r="BC44">
        <v>0</v>
      </c>
      <c r="BD44">
        <v>8</v>
      </c>
      <c r="BE44">
        <v>1</v>
      </c>
      <c r="BF44">
        <v>0</v>
      </c>
      <c r="BG44">
        <v>1</v>
      </c>
      <c r="BH44">
        <v>0</v>
      </c>
      <c r="BI44">
        <v>1</v>
      </c>
      <c r="BJ44">
        <v>0</v>
      </c>
      <c r="BK44">
        <v>0</v>
      </c>
      <c r="BL44">
        <v>1</v>
      </c>
      <c r="BM44">
        <v>1</v>
      </c>
      <c r="BN44">
        <v>0</v>
      </c>
      <c r="BO44">
        <v>0</v>
      </c>
      <c r="BP44">
        <v>1</v>
      </c>
      <c r="BQ44">
        <v>1</v>
      </c>
      <c r="BR44">
        <v>0</v>
      </c>
      <c r="BS44">
        <v>2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0</v>
      </c>
      <c r="BZ44">
        <v>0</v>
      </c>
      <c r="CA44">
        <v>0</v>
      </c>
      <c r="CB44">
        <v>1</v>
      </c>
      <c r="CC44">
        <v>1</v>
      </c>
      <c r="CD44">
        <v>0</v>
      </c>
      <c r="CE44">
        <v>1</v>
      </c>
      <c r="CF44">
        <v>0</v>
      </c>
      <c r="CG44">
        <v>0</v>
      </c>
      <c r="CH44">
        <v>2</v>
      </c>
      <c r="CI44">
        <v>0</v>
      </c>
      <c r="CJ44">
        <v>2</v>
      </c>
      <c r="CK44">
        <v>0</v>
      </c>
      <c r="CL44">
        <v>1</v>
      </c>
      <c r="CM44">
        <v>0</v>
      </c>
      <c r="CN44">
        <v>1</v>
      </c>
      <c r="CO44">
        <v>0</v>
      </c>
      <c r="CP44">
        <v>0</v>
      </c>
      <c r="CQ44">
        <v>0</v>
      </c>
    </row>
    <row r="45" spans="1:95" x14ac:dyDescent="0.25">
      <c r="A45" t="s">
        <v>335</v>
      </c>
      <c r="B45" t="s">
        <v>154</v>
      </c>
      <c r="C45" t="s">
        <v>97</v>
      </c>
      <c r="D45">
        <v>1997</v>
      </c>
      <c r="E45" t="s">
        <v>148</v>
      </c>
      <c r="F45" t="s">
        <v>99</v>
      </c>
      <c r="G45" t="s">
        <v>132</v>
      </c>
      <c r="H45">
        <v>2</v>
      </c>
      <c r="I45">
        <v>0</v>
      </c>
      <c r="J45">
        <v>80</v>
      </c>
      <c r="K45" t="s">
        <v>101</v>
      </c>
      <c r="L45" t="s">
        <v>204</v>
      </c>
      <c r="M45">
        <v>2023</v>
      </c>
      <c r="N45">
        <v>2023</v>
      </c>
      <c r="O45" t="s">
        <v>103</v>
      </c>
      <c r="P45">
        <v>12</v>
      </c>
      <c r="Q45" t="s">
        <v>120</v>
      </c>
      <c r="R45">
        <v>150000</v>
      </c>
      <c r="S45">
        <v>30000</v>
      </c>
      <c r="T45">
        <v>120000</v>
      </c>
      <c r="V45">
        <v>800000</v>
      </c>
      <c r="W45" t="s">
        <v>137</v>
      </c>
      <c r="X45" t="s">
        <v>281</v>
      </c>
      <c r="Y45">
        <v>2</v>
      </c>
      <c r="AA45" t="s">
        <v>336</v>
      </c>
      <c r="AC45">
        <v>45</v>
      </c>
      <c r="AD45" t="s">
        <v>337</v>
      </c>
      <c r="AE45" t="s">
        <v>109</v>
      </c>
      <c r="AF45">
        <v>0.1875</v>
      </c>
      <c r="AG45" t="b">
        <v>0</v>
      </c>
      <c r="AH45">
        <v>400000</v>
      </c>
      <c r="AI45" t="s">
        <v>110</v>
      </c>
      <c r="AJ45" t="s">
        <v>142</v>
      </c>
      <c r="AK45" t="s">
        <v>143</v>
      </c>
      <c r="AL45">
        <v>75000</v>
      </c>
      <c r="AM45" t="s">
        <v>144</v>
      </c>
      <c r="AN45" t="s">
        <v>127</v>
      </c>
      <c r="AO45" t="s">
        <v>128</v>
      </c>
      <c r="AP45">
        <v>0</v>
      </c>
      <c r="AQ45">
        <v>4</v>
      </c>
      <c r="AR45">
        <v>5</v>
      </c>
      <c r="AS45">
        <v>2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1</v>
      </c>
      <c r="BD45">
        <v>0</v>
      </c>
      <c r="BE45">
        <v>0</v>
      </c>
      <c r="BF45">
        <v>0</v>
      </c>
      <c r="BG45">
        <v>1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</v>
      </c>
      <c r="BU45">
        <v>0</v>
      </c>
      <c r="BV45">
        <v>1</v>
      </c>
      <c r="BW45">
        <v>1</v>
      </c>
      <c r="BX45">
        <v>1</v>
      </c>
      <c r="BY45">
        <v>0</v>
      </c>
      <c r="BZ45">
        <v>1</v>
      </c>
      <c r="CA45">
        <v>1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2</v>
      </c>
      <c r="CI45">
        <v>1</v>
      </c>
      <c r="CJ45">
        <v>0</v>
      </c>
      <c r="CK45">
        <v>1</v>
      </c>
      <c r="CL45">
        <v>0</v>
      </c>
      <c r="CM45">
        <v>0</v>
      </c>
      <c r="CN45">
        <v>1</v>
      </c>
      <c r="CO45">
        <v>0</v>
      </c>
      <c r="CP45">
        <v>0</v>
      </c>
      <c r="CQ45">
        <v>0</v>
      </c>
    </row>
    <row r="46" spans="1:95" x14ac:dyDescent="0.25">
      <c r="A46" t="s">
        <v>338</v>
      </c>
      <c r="B46" t="s">
        <v>154</v>
      </c>
      <c r="C46" t="s">
        <v>326</v>
      </c>
      <c r="D46">
        <v>1979</v>
      </c>
      <c r="E46" t="s">
        <v>148</v>
      </c>
      <c r="F46" t="s">
        <v>99</v>
      </c>
      <c r="G46" t="s">
        <v>100</v>
      </c>
      <c r="H46">
        <v>2</v>
      </c>
      <c r="I46">
        <v>0</v>
      </c>
      <c r="J46">
        <v>99</v>
      </c>
      <c r="K46" t="s">
        <v>101</v>
      </c>
      <c r="L46" t="s">
        <v>339</v>
      </c>
      <c r="M46">
        <v>1999</v>
      </c>
      <c r="N46">
        <v>1999</v>
      </c>
      <c r="O46" t="s">
        <v>103</v>
      </c>
      <c r="P46">
        <v>6</v>
      </c>
      <c r="Q46" t="s">
        <v>104</v>
      </c>
      <c r="R46">
        <v>90000</v>
      </c>
      <c r="S46">
        <v>45000</v>
      </c>
      <c r="V46">
        <v>700000</v>
      </c>
      <c r="W46" t="s">
        <v>137</v>
      </c>
      <c r="X46" t="s">
        <v>210</v>
      </c>
      <c r="Y46">
        <v>3</v>
      </c>
      <c r="Z46" t="s">
        <v>340</v>
      </c>
      <c r="AA46" t="s">
        <v>341</v>
      </c>
      <c r="AC46">
        <v>40</v>
      </c>
      <c r="AE46" t="s">
        <v>140</v>
      </c>
      <c r="AF46">
        <v>0.12857142857142859</v>
      </c>
      <c r="AG46" t="b">
        <v>0</v>
      </c>
      <c r="AH46">
        <v>350000</v>
      </c>
      <c r="AI46" t="s">
        <v>110</v>
      </c>
      <c r="AJ46" t="s">
        <v>159</v>
      </c>
      <c r="AK46" t="s">
        <v>112</v>
      </c>
      <c r="AL46">
        <v>45000</v>
      </c>
      <c r="AM46" t="s">
        <v>126</v>
      </c>
      <c r="AN46" t="s">
        <v>114</v>
      </c>
      <c r="AO46" t="s">
        <v>115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1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</row>
    <row r="47" spans="1:95" x14ac:dyDescent="0.25">
      <c r="A47" t="s">
        <v>342</v>
      </c>
      <c r="B47" t="s">
        <v>154</v>
      </c>
      <c r="C47" t="s">
        <v>326</v>
      </c>
      <c r="D47">
        <v>1952</v>
      </c>
      <c r="E47" t="s">
        <v>148</v>
      </c>
      <c r="F47" t="s">
        <v>192</v>
      </c>
      <c r="G47" t="s">
        <v>100</v>
      </c>
      <c r="H47">
        <v>2</v>
      </c>
      <c r="I47">
        <v>0</v>
      </c>
      <c r="J47">
        <v>78</v>
      </c>
      <c r="K47" t="s">
        <v>133</v>
      </c>
      <c r="L47" t="s">
        <v>343</v>
      </c>
      <c r="M47">
        <v>2013</v>
      </c>
      <c r="N47">
        <v>2013</v>
      </c>
      <c r="O47" t="s">
        <v>103</v>
      </c>
      <c r="P47">
        <v>9</v>
      </c>
      <c r="Q47" t="s">
        <v>104</v>
      </c>
      <c r="R47">
        <v>90000</v>
      </c>
      <c r="S47">
        <v>90000</v>
      </c>
      <c r="V47">
        <v>500000</v>
      </c>
      <c r="W47" t="s">
        <v>137</v>
      </c>
      <c r="X47" t="s">
        <v>281</v>
      </c>
      <c r="Y47">
        <v>2</v>
      </c>
      <c r="Z47" t="s">
        <v>344</v>
      </c>
      <c r="AA47" t="s">
        <v>345</v>
      </c>
      <c r="AC47">
        <v>46</v>
      </c>
      <c r="AE47" t="s">
        <v>109</v>
      </c>
      <c r="AF47">
        <v>0.18</v>
      </c>
      <c r="AG47" t="b">
        <v>0</v>
      </c>
      <c r="AH47">
        <v>250000</v>
      </c>
      <c r="AI47" t="s">
        <v>190</v>
      </c>
      <c r="AJ47" t="s">
        <v>166</v>
      </c>
      <c r="AK47" t="s">
        <v>112</v>
      </c>
      <c r="AL47">
        <v>45000</v>
      </c>
      <c r="AM47" t="s">
        <v>113</v>
      </c>
      <c r="AN47" t="s">
        <v>114</v>
      </c>
      <c r="AO47" t="s">
        <v>115</v>
      </c>
      <c r="AP47">
        <v>0</v>
      </c>
      <c r="AQ47">
        <v>5</v>
      </c>
      <c r="AR47">
        <v>4</v>
      </c>
      <c r="AS47">
        <v>2</v>
      </c>
      <c r="AT47">
        <v>0</v>
      </c>
      <c r="AU47">
        <v>1</v>
      </c>
      <c r="AV47">
        <v>0</v>
      </c>
      <c r="AW47">
        <v>1</v>
      </c>
      <c r="AX47">
        <v>1</v>
      </c>
      <c r="AY47">
        <v>0</v>
      </c>
      <c r="AZ47">
        <v>2</v>
      </c>
      <c r="BA47">
        <v>1</v>
      </c>
      <c r="BB47">
        <v>1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0</v>
      </c>
      <c r="BO47">
        <v>0</v>
      </c>
      <c r="BP47">
        <v>1</v>
      </c>
      <c r="BQ47">
        <v>0</v>
      </c>
      <c r="BR47">
        <v>0</v>
      </c>
      <c r="BS47">
        <v>1</v>
      </c>
      <c r="BT47">
        <v>0</v>
      </c>
      <c r="BU47">
        <v>1</v>
      </c>
      <c r="BV47">
        <v>0</v>
      </c>
      <c r="BW47">
        <v>1</v>
      </c>
      <c r="BX47">
        <v>1</v>
      </c>
      <c r="BY47">
        <v>0</v>
      </c>
      <c r="BZ47">
        <v>1</v>
      </c>
      <c r="CA47">
        <v>1</v>
      </c>
      <c r="CB47">
        <v>0</v>
      </c>
      <c r="CC47">
        <v>0</v>
      </c>
      <c r="CD47">
        <v>1</v>
      </c>
      <c r="CE47">
        <v>1</v>
      </c>
      <c r="CF47">
        <v>2</v>
      </c>
      <c r="CG47">
        <v>0</v>
      </c>
      <c r="CH47">
        <v>2</v>
      </c>
      <c r="CI47">
        <v>1</v>
      </c>
      <c r="CJ47">
        <v>1</v>
      </c>
      <c r="CK47">
        <v>0</v>
      </c>
      <c r="CL47">
        <v>0</v>
      </c>
      <c r="CM47">
        <v>0</v>
      </c>
      <c r="CN47">
        <v>1</v>
      </c>
      <c r="CO47">
        <v>0</v>
      </c>
      <c r="CP47">
        <v>0</v>
      </c>
      <c r="CQ47">
        <v>1</v>
      </c>
    </row>
    <row r="48" spans="1:95" x14ac:dyDescent="0.25">
      <c r="A48" t="s">
        <v>346</v>
      </c>
      <c r="B48" t="s">
        <v>154</v>
      </c>
      <c r="C48" t="s">
        <v>180</v>
      </c>
      <c r="D48">
        <v>1952</v>
      </c>
      <c r="E48" t="s">
        <v>148</v>
      </c>
      <c r="F48" t="s">
        <v>192</v>
      </c>
      <c r="G48" t="s">
        <v>294</v>
      </c>
      <c r="H48">
        <v>1</v>
      </c>
      <c r="I48">
        <v>0</v>
      </c>
      <c r="J48">
        <v>30</v>
      </c>
      <c r="K48" t="s">
        <v>133</v>
      </c>
      <c r="L48" t="s">
        <v>347</v>
      </c>
      <c r="M48">
        <v>2000</v>
      </c>
      <c r="N48">
        <v>2000</v>
      </c>
      <c r="O48" t="s">
        <v>103</v>
      </c>
      <c r="P48">
        <v>15</v>
      </c>
      <c r="Q48" t="s">
        <v>104</v>
      </c>
      <c r="R48">
        <v>50000</v>
      </c>
      <c r="S48">
        <v>29000</v>
      </c>
      <c r="T48">
        <v>19000</v>
      </c>
      <c r="V48">
        <v>298000</v>
      </c>
      <c r="W48" t="s">
        <v>137</v>
      </c>
      <c r="X48" t="s">
        <v>281</v>
      </c>
      <c r="Y48">
        <v>2</v>
      </c>
      <c r="AC48">
        <v>43</v>
      </c>
      <c r="AD48" t="s">
        <v>348</v>
      </c>
      <c r="AE48" t="s">
        <v>109</v>
      </c>
      <c r="AF48">
        <v>0.16778523489932889</v>
      </c>
      <c r="AG48" t="b">
        <v>0</v>
      </c>
      <c r="AH48">
        <v>298000</v>
      </c>
      <c r="AI48" t="s">
        <v>190</v>
      </c>
      <c r="AJ48" t="s">
        <v>166</v>
      </c>
      <c r="AK48" t="s">
        <v>143</v>
      </c>
      <c r="AL48">
        <v>50000</v>
      </c>
      <c r="AM48" t="s">
        <v>113</v>
      </c>
      <c r="AN48" t="s">
        <v>114</v>
      </c>
      <c r="AO48" t="s">
        <v>115</v>
      </c>
      <c r="AP48">
        <v>1</v>
      </c>
      <c r="AQ48">
        <v>6</v>
      </c>
      <c r="AR48">
        <v>4</v>
      </c>
      <c r="AS48">
        <v>1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1</v>
      </c>
      <c r="BA48">
        <v>1</v>
      </c>
      <c r="BB48">
        <v>1</v>
      </c>
      <c r="BC48">
        <v>1</v>
      </c>
      <c r="BD48">
        <v>0</v>
      </c>
      <c r="BE48">
        <v>1</v>
      </c>
      <c r="BF48">
        <v>0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1</v>
      </c>
      <c r="BM48">
        <v>1</v>
      </c>
      <c r="BN48">
        <v>0</v>
      </c>
      <c r="BO48">
        <v>0</v>
      </c>
      <c r="BP48">
        <v>0</v>
      </c>
      <c r="BQ48">
        <v>3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1</v>
      </c>
      <c r="BX48">
        <v>0</v>
      </c>
      <c r="BY48">
        <v>1</v>
      </c>
      <c r="BZ48">
        <v>1</v>
      </c>
      <c r="CA48">
        <v>1</v>
      </c>
      <c r="CB48">
        <v>1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1</v>
      </c>
      <c r="CI48">
        <v>0</v>
      </c>
      <c r="CJ48">
        <v>1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</row>
    <row r="49" spans="1:95" x14ac:dyDescent="0.25">
      <c r="A49" t="s">
        <v>349</v>
      </c>
      <c r="B49" t="s">
        <v>154</v>
      </c>
      <c r="C49" t="s">
        <v>180</v>
      </c>
      <c r="D49">
        <v>1975</v>
      </c>
      <c r="E49" t="s">
        <v>148</v>
      </c>
      <c r="F49" t="s">
        <v>131</v>
      </c>
      <c r="G49" t="s">
        <v>187</v>
      </c>
      <c r="H49">
        <v>1</v>
      </c>
      <c r="I49">
        <v>0</v>
      </c>
      <c r="J49">
        <v>30</v>
      </c>
      <c r="K49" t="s">
        <v>133</v>
      </c>
      <c r="L49" t="s">
        <v>350</v>
      </c>
      <c r="M49">
        <v>2022</v>
      </c>
      <c r="N49">
        <v>2022</v>
      </c>
      <c r="O49" t="s">
        <v>351</v>
      </c>
      <c r="Q49" t="s">
        <v>216</v>
      </c>
      <c r="R49">
        <v>140000</v>
      </c>
      <c r="S49">
        <v>40000</v>
      </c>
      <c r="T49">
        <v>100000</v>
      </c>
      <c r="V49">
        <v>600000</v>
      </c>
      <c r="W49" t="s">
        <v>259</v>
      </c>
      <c r="X49" t="s">
        <v>252</v>
      </c>
      <c r="Y49">
        <v>0</v>
      </c>
      <c r="AA49" t="s">
        <v>352</v>
      </c>
      <c r="AC49">
        <v>43</v>
      </c>
      <c r="AE49" t="s">
        <v>178</v>
      </c>
      <c r="AF49">
        <v>0.23333333333333331</v>
      </c>
      <c r="AG49" t="b">
        <v>0</v>
      </c>
      <c r="AH49">
        <v>600000</v>
      </c>
      <c r="AI49" t="s">
        <v>141</v>
      </c>
      <c r="AJ49" t="s">
        <v>159</v>
      </c>
      <c r="AK49" t="s">
        <v>143</v>
      </c>
      <c r="AL49">
        <v>140000</v>
      </c>
      <c r="AM49" t="s">
        <v>144</v>
      </c>
      <c r="AN49" t="s">
        <v>127</v>
      </c>
      <c r="AO49" t="s">
        <v>128</v>
      </c>
      <c r="AP49">
        <v>0</v>
      </c>
      <c r="AQ49">
        <v>5</v>
      </c>
      <c r="AR49">
        <v>6</v>
      </c>
      <c r="AS49">
        <v>1</v>
      </c>
      <c r="AT49">
        <v>1</v>
      </c>
      <c r="AU49">
        <v>0</v>
      </c>
      <c r="AV49">
        <v>2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2</v>
      </c>
      <c r="BJ49">
        <v>1</v>
      </c>
      <c r="BK49">
        <v>2</v>
      </c>
      <c r="BL49">
        <v>0</v>
      </c>
      <c r="BM49">
        <v>1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</v>
      </c>
      <c r="BU49">
        <v>1</v>
      </c>
      <c r="BV49">
        <v>2</v>
      </c>
      <c r="BW49">
        <v>1</v>
      </c>
      <c r="BX49">
        <v>1</v>
      </c>
      <c r="BY49">
        <v>0</v>
      </c>
      <c r="BZ49">
        <v>1</v>
      </c>
      <c r="CA49">
        <v>1</v>
      </c>
      <c r="CB49">
        <v>1</v>
      </c>
      <c r="CC49">
        <v>0</v>
      </c>
      <c r="CD49">
        <v>0</v>
      </c>
      <c r="CE49">
        <v>0</v>
      </c>
      <c r="CF49">
        <v>1</v>
      </c>
      <c r="CG49">
        <v>0</v>
      </c>
      <c r="CH49">
        <v>0</v>
      </c>
      <c r="CI49">
        <v>1</v>
      </c>
      <c r="CJ49">
        <v>1</v>
      </c>
      <c r="CK49">
        <v>1</v>
      </c>
      <c r="CL49">
        <v>0</v>
      </c>
      <c r="CM49">
        <v>0</v>
      </c>
      <c r="CN49">
        <v>1</v>
      </c>
      <c r="CO49">
        <v>0</v>
      </c>
      <c r="CP49">
        <v>0</v>
      </c>
      <c r="CQ49">
        <v>0</v>
      </c>
    </row>
    <row r="50" spans="1:95" x14ac:dyDescent="0.25">
      <c r="A50" t="s">
        <v>353</v>
      </c>
      <c r="B50" t="s">
        <v>208</v>
      </c>
      <c r="D50">
        <v>1946</v>
      </c>
      <c r="E50" t="s">
        <v>98</v>
      </c>
      <c r="F50" t="s">
        <v>99</v>
      </c>
      <c r="G50" t="s">
        <v>100</v>
      </c>
      <c r="H50">
        <v>1</v>
      </c>
      <c r="I50">
        <v>0</v>
      </c>
      <c r="J50">
        <v>69</v>
      </c>
      <c r="K50" t="s">
        <v>101</v>
      </c>
      <c r="L50" t="s">
        <v>354</v>
      </c>
      <c r="M50">
        <v>1946</v>
      </c>
      <c r="N50">
        <v>1946</v>
      </c>
      <c r="Q50" t="s">
        <v>174</v>
      </c>
      <c r="R50">
        <v>65000</v>
      </c>
      <c r="S50">
        <v>65000</v>
      </c>
      <c r="V50">
        <v>300000</v>
      </c>
      <c r="W50" t="s">
        <v>137</v>
      </c>
      <c r="X50" t="s">
        <v>260</v>
      </c>
      <c r="Y50">
        <v>3</v>
      </c>
      <c r="AB50" t="s">
        <v>355</v>
      </c>
      <c r="AC50">
        <v>53</v>
      </c>
      <c r="AE50" t="s">
        <v>178</v>
      </c>
      <c r="AF50">
        <v>0.2166666666666667</v>
      </c>
      <c r="AG50" t="b">
        <v>0</v>
      </c>
      <c r="AH50">
        <v>300000</v>
      </c>
      <c r="AI50" t="s">
        <v>110</v>
      </c>
      <c r="AJ50" t="s">
        <v>166</v>
      </c>
      <c r="AK50" t="s">
        <v>112</v>
      </c>
      <c r="AL50">
        <v>65000</v>
      </c>
      <c r="AM50" t="s">
        <v>113</v>
      </c>
      <c r="AN50" t="s">
        <v>171</v>
      </c>
      <c r="AO50" t="s">
        <v>115</v>
      </c>
      <c r="AP50">
        <v>0</v>
      </c>
      <c r="AQ50">
        <v>3</v>
      </c>
      <c r="AR50">
        <v>9</v>
      </c>
      <c r="AS50">
        <v>1</v>
      </c>
      <c r="AT50">
        <v>2</v>
      </c>
      <c r="AU50">
        <v>2</v>
      </c>
      <c r="AV50">
        <v>4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2</v>
      </c>
      <c r="BC50">
        <v>0</v>
      </c>
      <c r="BD50">
        <v>2</v>
      </c>
      <c r="BE50">
        <v>0</v>
      </c>
      <c r="BF50">
        <v>0</v>
      </c>
      <c r="BG50">
        <v>0</v>
      </c>
      <c r="BH50">
        <v>0</v>
      </c>
      <c r="BI50">
        <v>7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0</v>
      </c>
      <c r="BP50">
        <v>0</v>
      </c>
      <c r="BQ50">
        <v>0</v>
      </c>
      <c r="BR50">
        <v>0</v>
      </c>
      <c r="BS50">
        <v>2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1</v>
      </c>
      <c r="CA50">
        <v>0</v>
      </c>
      <c r="CB50">
        <v>0</v>
      </c>
      <c r="CC50">
        <v>1</v>
      </c>
      <c r="CD50">
        <v>0</v>
      </c>
      <c r="CE50">
        <v>1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</row>
    <row r="51" spans="1:95" x14ac:dyDescent="0.25">
      <c r="A51" t="s">
        <v>356</v>
      </c>
      <c r="B51" t="s">
        <v>208</v>
      </c>
      <c r="C51" t="s">
        <v>226</v>
      </c>
      <c r="D51">
        <v>1989</v>
      </c>
      <c r="E51" t="s">
        <v>148</v>
      </c>
      <c r="F51" t="s">
        <v>131</v>
      </c>
      <c r="G51" t="s">
        <v>100</v>
      </c>
      <c r="H51">
        <v>2</v>
      </c>
      <c r="J51">
        <v>60</v>
      </c>
      <c r="K51" t="s">
        <v>101</v>
      </c>
      <c r="L51" t="s">
        <v>199</v>
      </c>
      <c r="M51">
        <v>2024</v>
      </c>
      <c r="N51">
        <v>2024</v>
      </c>
      <c r="O51" t="s">
        <v>103</v>
      </c>
      <c r="P51">
        <v>9</v>
      </c>
      <c r="Q51" t="s">
        <v>104</v>
      </c>
      <c r="R51">
        <v>60000</v>
      </c>
      <c r="V51">
        <v>1000000</v>
      </c>
      <c r="W51" t="s">
        <v>137</v>
      </c>
      <c r="X51" t="s">
        <v>357</v>
      </c>
      <c r="Y51">
        <v>0</v>
      </c>
      <c r="AA51" t="s">
        <v>358</v>
      </c>
      <c r="AC51">
        <v>25</v>
      </c>
      <c r="AE51" t="s">
        <v>125</v>
      </c>
      <c r="AF51">
        <v>0.06</v>
      </c>
      <c r="AG51" t="b">
        <v>0</v>
      </c>
      <c r="AH51">
        <v>500000</v>
      </c>
      <c r="AI51" t="s">
        <v>141</v>
      </c>
      <c r="AJ51" t="s">
        <v>159</v>
      </c>
      <c r="AK51" t="s">
        <v>112</v>
      </c>
      <c r="AL51">
        <v>30000</v>
      </c>
      <c r="AM51" t="s">
        <v>126</v>
      </c>
      <c r="AN51" t="s">
        <v>145</v>
      </c>
      <c r="AO51" t="s">
        <v>128</v>
      </c>
      <c r="AP51">
        <v>1</v>
      </c>
      <c r="AQ51">
        <v>5</v>
      </c>
      <c r="AR51">
        <v>3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1</v>
      </c>
      <c r="BC51">
        <v>2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</v>
      </c>
      <c r="BM51">
        <v>0</v>
      </c>
      <c r="BN51">
        <v>0</v>
      </c>
      <c r="BO51">
        <v>0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1</v>
      </c>
      <c r="BV51">
        <v>0</v>
      </c>
      <c r="BW51">
        <v>0</v>
      </c>
      <c r="BX51">
        <v>0</v>
      </c>
      <c r="BY51">
        <v>0</v>
      </c>
      <c r="BZ51">
        <v>2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2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</row>
    <row r="52" spans="1:95" x14ac:dyDescent="0.25">
      <c r="A52" t="s">
        <v>359</v>
      </c>
      <c r="B52" t="s">
        <v>208</v>
      </c>
      <c r="C52" t="s">
        <v>226</v>
      </c>
      <c r="D52">
        <v>1994</v>
      </c>
      <c r="E52" t="s">
        <v>98</v>
      </c>
      <c r="F52" t="s">
        <v>360</v>
      </c>
      <c r="G52" t="s">
        <v>132</v>
      </c>
      <c r="H52">
        <v>4</v>
      </c>
      <c r="I52">
        <v>2</v>
      </c>
      <c r="J52">
        <v>80</v>
      </c>
      <c r="K52" t="s">
        <v>133</v>
      </c>
      <c r="L52" t="s">
        <v>193</v>
      </c>
      <c r="N52">
        <v>2020</v>
      </c>
      <c r="O52" t="s">
        <v>103</v>
      </c>
      <c r="P52">
        <v>8</v>
      </c>
      <c r="Q52" t="s">
        <v>150</v>
      </c>
      <c r="W52" t="s">
        <v>361</v>
      </c>
      <c r="X52" t="s">
        <v>357</v>
      </c>
      <c r="Y52">
        <v>2</v>
      </c>
      <c r="AC52">
        <v>16</v>
      </c>
      <c r="AD52" t="s">
        <v>362</v>
      </c>
      <c r="AE52" t="s">
        <v>125</v>
      </c>
      <c r="AI52" t="s">
        <v>190</v>
      </c>
      <c r="AJ52" t="s">
        <v>159</v>
      </c>
      <c r="AK52" t="s">
        <v>143</v>
      </c>
      <c r="AM52" t="s">
        <v>144</v>
      </c>
      <c r="AN52" t="s">
        <v>127</v>
      </c>
      <c r="AP52">
        <v>1</v>
      </c>
      <c r="AQ52">
        <v>1</v>
      </c>
      <c r="AR52">
        <v>4</v>
      </c>
      <c r="AS52">
        <v>1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1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0</v>
      </c>
      <c r="CC52">
        <v>1</v>
      </c>
      <c r="CD52">
        <v>0</v>
      </c>
      <c r="CE52">
        <v>1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1</v>
      </c>
      <c r="CQ52">
        <v>0</v>
      </c>
    </row>
    <row r="53" spans="1:95" x14ac:dyDescent="0.25">
      <c r="A53" t="s">
        <v>363</v>
      </c>
      <c r="B53" t="s">
        <v>257</v>
      </c>
      <c r="C53" t="s">
        <v>147</v>
      </c>
      <c r="D53">
        <v>1957</v>
      </c>
      <c r="E53" t="s">
        <v>148</v>
      </c>
      <c r="F53" t="s">
        <v>192</v>
      </c>
      <c r="G53" t="s">
        <v>100</v>
      </c>
      <c r="H53">
        <v>2</v>
      </c>
      <c r="I53">
        <v>0</v>
      </c>
      <c r="J53">
        <v>90</v>
      </c>
      <c r="K53" t="s">
        <v>101</v>
      </c>
      <c r="L53" t="s">
        <v>364</v>
      </c>
      <c r="M53">
        <v>2015</v>
      </c>
      <c r="N53">
        <v>2015</v>
      </c>
      <c r="O53" t="s">
        <v>103</v>
      </c>
      <c r="P53">
        <v>7</v>
      </c>
      <c r="Q53" t="s">
        <v>104</v>
      </c>
      <c r="R53">
        <v>50000</v>
      </c>
      <c r="S53">
        <v>50000</v>
      </c>
      <c r="V53">
        <v>200000</v>
      </c>
      <c r="W53" t="s">
        <v>156</v>
      </c>
      <c r="X53" t="s">
        <v>235</v>
      </c>
      <c r="Y53">
        <v>2</v>
      </c>
      <c r="AA53" t="s">
        <v>365</v>
      </c>
      <c r="AB53" t="s">
        <v>366</v>
      </c>
      <c r="AC53">
        <v>53</v>
      </c>
      <c r="AD53" t="s">
        <v>367</v>
      </c>
      <c r="AE53" t="s">
        <v>140</v>
      </c>
      <c r="AF53">
        <v>0.25</v>
      </c>
      <c r="AG53" t="b">
        <v>0</v>
      </c>
      <c r="AH53">
        <v>100000</v>
      </c>
      <c r="AI53" t="s">
        <v>190</v>
      </c>
      <c r="AJ53" t="s">
        <v>166</v>
      </c>
      <c r="AK53" t="s">
        <v>112</v>
      </c>
      <c r="AL53">
        <v>25000</v>
      </c>
      <c r="AM53" t="s">
        <v>113</v>
      </c>
      <c r="AN53" t="s">
        <v>114</v>
      </c>
      <c r="AO53" t="s">
        <v>167</v>
      </c>
      <c r="AP53">
        <v>0</v>
      </c>
      <c r="AQ53">
        <v>3</v>
      </c>
      <c r="AR53">
        <v>5</v>
      </c>
      <c r="AS53">
        <v>1</v>
      </c>
      <c r="AT53">
        <v>1</v>
      </c>
      <c r="AU53">
        <v>0</v>
      </c>
      <c r="AV53">
        <v>2</v>
      </c>
      <c r="AW53">
        <v>0</v>
      </c>
      <c r="AX53">
        <v>0</v>
      </c>
      <c r="AY53">
        <v>0</v>
      </c>
      <c r="AZ53">
        <v>1</v>
      </c>
      <c r="BA53">
        <v>1</v>
      </c>
      <c r="BB53">
        <v>1</v>
      </c>
      <c r="BC53">
        <v>0</v>
      </c>
      <c r="BD53">
        <v>1</v>
      </c>
      <c r="BE53">
        <v>0</v>
      </c>
      <c r="BF53">
        <v>0</v>
      </c>
      <c r="BG53">
        <v>1</v>
      </c>
      <c r="BH53">
        <v>0</v>
      </c>
      <c r="BI53">
        <v>3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1</v>
      </c>
      <c r="BR53">
        <v>0</v>
      </c>
      <c r="BS53">
        <v>0</v>
      </c>
      <c r="BT53">
        <v>1</v>
      </c>
      <c r="BU53">
        <v>0</v>
      </c>
      <c r="BV53">
        <v>2</v>
      </c>
      <c r="BW53">
        <v>1</v>
      </c>
      <c r="BX53">
        <v>0</v>
      </c>
      <c r="BY53">
        <v>0</v>
      </c>
      <c r="BZ53">
        <v>1</v>
      </c>
      <c r="CA53">
        <v>3</v>
      </c>
      <c r="CB53">
        <v>1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4</v>
      </c>
      <c r="CI53">
        <v>1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</row>
    <row r="54" spans="1:95" x14ac:dyDescent="0.25">
      <c r="A54" t="s">
        <v>368</v>
      </c>
      <c r="B54" t="s">
        <v>257</v>
      </c>
      <c r="C54" t="s">
        <v>226</v>
      </c>
      <c r="D54">
        <v>1969</v>
      </c>
      <c r="E54" t="s">
        <v>148</v>
      </c>
      <c r="F54" t="s">
        <v>99</v>
      </c>
      <c r="G54" t="s">
        <v>132</v>
      </c>
      <c r="H54">
        <v>1</v>
      </c>
      <c r="I54">
        <v>0</v>
      </c>
      <c r="J54">
        <v>35</v>
      </c>
      <c r="K54" t="s">
        <v>133</v>
      </c>
      <c r="L54" t="s">
        <v>369</v>
      </c>
      <c r="M54">
        <v>2024</v>
      </c>
      <c r="N54">
        <v>2025</v>
      </c>
      <c r="O54" t="s">
        <v>103</v>
      </c>
      <c r="P54">
        <v>8</v>
      </c>
      <c r="Q54" t="s">
        <v>150</v>
      </c>
      <c r="R54">
        <v>200000</v>
      </c>
      <c r="S54">
        <v>40000</v>
      </c>
      <c r="T54">
        <v>160000</v>
      </c>
      <c r="V54">
        <v>400000</v>
      </c>
      <c r="W54" t="s">
        <v>156</v>
      </c>
      <c r="X54" t="s">
        <v>281</v>
      </c>
      <c r="Y54">
        <v>0</v>
      </c>
      <c r="AA54" t="s">
        <v>370</v>
      </c>
      <c r="AC54">
        <v>85</v>
      </c>
      <c r="AE54" t="s">
        <v>109</v>
      </c>
      <c r="AF54">
        <v>0.5</v>
      </c>
      <c r="AG54" t="b">
        <v>1</v>
      </c>
      <c r="AH54">
        <v>400000</v>
      </c>
      <c r="AI54" t="s">
        <v>110</v>
      </c>
      <c r="AJ54" t="s">
        <v>111</v>
      </c>
      <c r="AK54" t="s">
        <v>143</v>
      </c>
      <c r="AL54">
        <v>200000</v>
      </c>
      <c r="AM54" t="s">
        <v>144</v>
      </c>
      <c r="AN54" t="s">
        <v>145</v>
      </c>
      <c r="AO54" t="s">
        <v>128</v>
      </c>
      <c r="AP54">
        <v>0</v>
      </c>
      <c r="AQ54">
        <v>7</v>
      </c>
      <c r="AR54">
        <v>0</v>
      </c>
      <c r="AS54">
        <v>0</v>
      </c>
      <c r="AT54">
        <v>0</v>
      </c>
      <c r="AU54">
        <v>1</v>
      </c>
      <c r="AV54">
        <v>1</v>
      </c>
      <c r="AW54">
        <v>0</v>
      </c>
      <c r="AX54">
        <v>0</v>
      </c>
      <c r="AY54">
        <v>0</v>
      </c>
      <c r="AZ54">
        <v>3</v>
      </c>
      <c r="BA54">
        <v>0</v>
      </c>
      <c r="BB54">
        <v>2</v>
      </c>
      <c r="BC54">
        <v>0</v>
      </c>
      <c r="BD54">
        <v>2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2</v>
      </c>
      <c r="BN54">
        <v>0</v>
      </c>
      <c r="BO54">
        <v>1</v>
      </c>
      <c r="BP54">
        <v>1</v>
      </c>
      <c r="BQ54">
        <v>1</v>
      </c>
      <c r="BR54">
        <v>0</v>
      </c>
      <c r="BS54">
        <v>2</v>
      </c>
      <c r="BT54">
        <v>1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1</v>
      </c>
      <c r="CI54">
        <v>0</v>
      </c>
      <c r="CJ54">
        <v>0</v>
      </c>
      <c r="CK54">
        <v>1</v>
      </c>
      <c r="CL54">
        <v>0</v>
      </c>
      <c r="CM54">
        <v>0</v>
      </c>
      <c r="CN54">
        <v>0</v>
      </c>
      <c r="CO54">
        <v>1</v>
      </c>
      <c r="CP54">
        <v>0</v>
      </c>
      <c r="CQ54">
        <v>0</v>
      </c>
    </row>
    <row r="55" spans="1:95" x14ac:dyDescent="0.25">
      <c r="A55" t="s">
        <v>371</v>
      </c>
      <c r="B55" t="s">
        <v>257</v>
      </c>
      <c r="C55" t="s">
        <v>180</v>
      </c>
      <c r="D55">
        <v>1981</v>
      </c>
      <c r="E55" t="s">
        <v>98</v>
      </c>
      <c r="F55" t="s">
        <v>99</v>
      </c>
      <c r="G55" t="s">
        <v>132</v>
      </c>
      <c r="H55">
        <v>1</v>
      </c>
      <c r="I55">
        <v>0</v>
      </c>
      <c r="J55">
        <v>55</v>
      </c>
      <c r="K55" t="s">
        <v>133</v>
      </c>
      <c r="L55" t="s">
        <v>372</v>
      </c>
      <c r="M55">
        <v>2022</v>
      </c>
      <c r="N55">
        <v>2025</v>
      </c>
      <c r="O55" t="s">
        <v>103</v>
      </c>
      <c r="P55">
        <v>8</v>
      </c>
      <c r="Q55" t="s">
        <v>150</v>
      </c>
      <c r="R55">
        <v>230000</v>
      </c>
      <c r="S55">
        <v>60000</v>
      </c>
      <c r="T55">
        <v>170000</v>
      </c>
      <c r="V55">
        <v>450000</v>
      </c>
      <c r="W55" t="s">
        <v>105</v>
      </c>
      <c r="X55" t="s">
        <v>260</v>
      </c>
      <c r="Y55">
        <v>0</v>
      </c>
      <c r="AA55" t="s">
        <v>373</v>
      </c>
      <c r="AC55">
        <v>65</v>
      </c>
      <c r="AE55" t="s">
        <v>178</v>
      </c>
      <c r="AF55">
        <v>0.51111111111111107</v>
      </c>
      <c r="AG55" t="b">
        <v>1</v>
      </c>
      <c r="AH55">
        <v>450000</v>
      </c>
      <c r="AI55" t="s">
        <v>110</v>
      </c>
      <c r="AJ55" t="s">
        <v>159</v>
      </c>
      <c r="AK55" t="s">
        <v>143</v>
      </c>
      <c r="AL55">
        <v>230000</v>
      </c>
      <c r="AM55" t="s">
        <v>144</v>
      </c>
      <c r="AN55" t="s">
        <v>145</v>
      </c>
      <c r="AO55" t="s">
        <v>128</v>
      </c>
      <c r="AP55">
        <v>1</v>
      </c>
      <c r="AQ55">
        <v>3</v>
      </c>
      <c r="AR55">
        <v>11</v>
      </c>
      <c r="AS55">
        <v>0</v>
      </c>
      <c r="AT55">
        <v>0</v>
      </c>
      <c r="AU55">
        <v>0</v>
      </c>
      <c r="AV55">
        <v>2</v>
      </c>
      <c r="AW55">
        <v>0</v>
      </c>
      <c r="AX55">
        <v>0</v>
      </c>
      <c r="AY55">
        <v>0</v>
      </c>
      <c r="AZ55">
        <v>2</v>
      </c>
      <c r="BA55">
        <v>0</v>
      </c>
      <c r="BB55">
        <v>2</v>
      </c>
      <c r="BC55">
        <v>1</v>
      </c>
      <c r="BD55">
        <v>2</v>
      </c>
      <c r="BE55">
        <v>0</v>
      </c>
      <c r="BF55">
        <v>0</v>
      </c>
      <c r="BG55">
        <v>0</v>
      </c>
      <c r="BH55">
        <v>0</v>
      </c>
      <c r="BI55">
        <v>2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1</v>
      </c>
      <c r="BQ55">
        <v>0</v>
      </c>
      <c r="BR55">
        <v>0</v>
      </c>
      <c r="BS55">
        <v>2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1</v>
      </c>
      <c r="BZ55">
        <v>0</v>
      </c>
      <c r="CA55">
        <v>1</v>
      </c>
      <c r="CB55">
        <v>2</v>
      </c>
      <c r="CC55">
        <v>0</v>
      </c>
      <c r="CD55">
        <v>0</v>
      </c>
      <c r="CE55">
        <v>0</v>
      </c>
      <c r="CF55">
        <v>2</v>
      </c>
      <c r="CG55">
        <v>0</v>
      </c>
      <c r="CH55">
        <v>4</v>
      </c>
      <c r="CI55">
        <v>1</v>
      </c>
      <c r="CJ55">
        <v>1</v>
      </c>
      <c r="CK55">
        <v>2</v>
      </c>
      <c r="CL55">
        <v>0</v>
      </c>
      <c r="CM55">
        <v>0</v>
      </c>
      <c r="CN55">
        <v>1</v>
      </c>
      <c r="CO55">
        <v>1</v>
      </c>
      <c r="CP55">
        <v>0</v>
      </c>
      <c r="CQ55">
        <v>0</v>
      </c>
    </row>
    <row r="56" spans="1:95" x14ac:dyDescent="0.25">
      <c r="A56" t="s">
        <v>374</v>
      </c>
      <c r="B56" t="s">
        <v>257</v>
      </c>
      <c r="C56" t="s">
        <v>180</v>
      </c>
      <c r="D56">
        <v>1982</v>
      </c>
      <c r="E56" t="s">
        <v>98</v>
      </c>
      <c r="F56" t="s">
        <v>99</v>
      </c>
      <c r="G56" t="s">
        <v>100</v>
      </c>
      <c r="H56">
        <v>1</v>
      </c>
      <c r="I56">
        <v>0</v>
      </c>
      <c r="J56">
        <v>49</v>
      </c>
      <c r="K56" t="s">
        <v>133</v>
      </c>
      <c r="L56" t="s">
        <v>375</v>
      </c>
      <c r="M56">
        <v>2008</v>
      </c>
      <c r="N56">
        <v>2008</v>
      </c>
      <c r="R56">
        <v>25000</v>
      </c>
      <c r="S56">
        <v>25000</v>
      </c>
      <c r="V56">
        <v>850000</v>
      </c>
      <c r="W56" t="s">
        <v>137</v>
      </c>
      <c r="X56" t="s">
        <v>260</v>
      </c>
      <c r="Y56">
        <v>2</v>
      </c>
      <c r="AA56" t="s">
        <v>376</v>
      </c>
      <c r="AC56">
        <v>21</v>
      </c>
      <c r="AE56" t="s">
        <v>178</v>
      </c>
      <c r="AF56">
        <v>2.9411764705882349E-2</v>
      </c>
      <c r="AG56" t="b">
        <v>0</v>
      </c>
      <c r="AH56">
        <v>850000</v>
      </c>
      <c r="AI56" t="s">
        <v>110</v>
      </c>
      <c r="AJ56" t="s">
        <v>159</v>
      </c>
      <c r="AK56" t="s">
        <v>112</v>
      </c>
      <c r="AL56">
        <v>25000</v>
      </c>
      <c r="AM56" t="s">
        <v>126</v>
      </c>
      <c r="AN56" t="s">
        <v>114</v>
      </c>
      <c r="AO56" t="s">
        <v>128</v>
      </c>
      <c r="AP56">
        <v>1</v>
      </c>
      <c r="AQ56">
        <v>5</v>
      </c>
      <c r="AR56">
        <v>13</v>
      </c>
      <c r="AS56">
        <v>1</v>
      </c>
      <c r="AT56">
        <v>1</v>
      </c>
      <c r="AU56">
        <v>0</v>
      </c>
      <c r="AV56">
        <v>1</v>
      </c>
      <c r="AW56">
        <v>0</v>
      </c>
      <c r="AX56">
        <v>1</v>
      </c>
      <c r="AY56">
        <v>4</v>
      </c>
      <c r="AZ56">
        <v>3</v>
      </c>
      <c r="BA56">
        <v>0</v>
      </c>
      <c r="BB56">
        <v>1</v>
      </c>
      <c r="BC56">
        <v>0</v>
      </c>
      <c r="BD56">
        <v>0</v>
      </c>
      <c r="BE56">
        <v>1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2</v>
      </c>
      <c r="BM56">
        <v>1</v>
      </c>
      <c r="BN56">
        <v>0</v>
      </c>
      <c r="BO56">
        <v>1</v>
      </c>
      <c r="BP56">
        <v>1</v>
      </c>
      <c r="BQ56">
        <v>0</v>
      </c>
      <c r="BR56">
        <v>0</v>
      </c>
      <c r="BS56">
        <v>1</v>
      </c>
      <c r="BT56">
        <v>0</v>
      </c>
      <c r="BU56">
        <v>1</v>
      </c>
      <c r="BV56">
        <v>1</v>
      </c>
      <c r="BW56">
        <v>1</v>
      </c>
      <c r="BX56">
        <v>0</v>
      </c>
      <c r="BY56">
        <v>1</v>
      </c>
      <c r="BZ56">
        <v>2</v>
      </c>
      <c r="CA56">
        <v>2</v>
      </c>
      <c r="CB56">
        <v>3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1</v>
      </c>
      <c r="CI56">
        <v>1</v>
      </c>
      <c r="CJ56">
        <v>0</v>
      </c>
      <c r="CK56">
        <v>2</v>
      </c>
      <c r="CL56">
        <v>0</v>
      </c>
      <c r="CM56">
        <v>0</v>
      </c>
      <c r="CN56">
        <v>0</v>
      </c>
      <c r="CO56">
        <v>0</v>
      </c>
      <c r="CP56">
        <v>1</v>
      </c>
      <c r="CQ56">
        <v>1</v>
      </c>
    </row>
    <row r="57" spans="1:95" x14ac:dyDescent="0.25">
      <c r="A57" t="s">
        <v>377</v>
      </c>
      <c r="B57" t="s">
        <v>257</v>
      </c>
      <c r="C57" t="s">
        <v>180</v>
      </c>
      <c r="D57">
        <v>1959</v>
      </c>
      <c r="E57" t="s">
        <v>98</v>
      </c>
      <c r="F57" t="s">
        <v>186</v>
      </c>
      <c r="G57" t="s">
        <v>100</v>
      </c>
      <c r="H57">
        <v>2</v>
      </c>
      <c r="I57">
        <v>0</v>
      </c>
      <c r="J57">
        <v>40</v>
      </c>
      <c r="K57" t="s">
        <v>133</v>
      </c>
      <c r="L57" t="s">
        <v>378</v>
      </c>
      <c r="M57">
        <v>1993</v>
      </c>
      <c r="N57">
        <v>1993</v>
      </c>
      <c r="O57" t="s">
        <v>103</v>
      </c>
      <c r="P57">
        <v>13</v>
      </c>
      <c r="Q57" t="s">
        <v>104</v>
      </c>
      <c r="R57">
        <v>50000</v>
      </c>
      <c r="S57">
        <v>30000</v>
      </c>
      <c r="V57">
        <v>250000</v>
      </c>
      <c r="W57" t="s">
        <v>137</v>
      </c>
      <c r="X57" t="s">
        <v>243</v>
      </c>
      <c r="Y57">
        <v>2</v>
      </c>
      <c r="AA57" t="s">
        <v>379</v>
      </c>
      <c r="AB57" t="s">
        <v>380</v>
      </c>
      <c r="AC57">
        <v>46</v>
      </c>
      <c r="AE57" t="s">
        <v>125</v>
      </c>
      <c r="AF57">
        <v>0.2</v>
      </c>
      <c r="AG57" t="b">
        <v>0</v>
      </c>
      <c r="AH57">
        <v>125000</v>
      </c>
      <c r="AI57" t="s">
        <v>190</v>
      </c>
      <c r="AJ57" t="s">
        <v>166</v>
      </c>
      <c r="AK57" t="s">
        <v>112</v>
      </c>
      <c r="AL57">
        <v>25000</v>
      </c>
      <c r="AM57" t="s">
        <v>113</v>
      </c>
      <c r="AN57" t="s">
        <v>114</v>
      </c>
      <c r="AO57" t="s">
        <v>167</v>
      </c>
      <c r="AP57">
        <v>1</v>
      </c>
      <c r="AQ57">
        <v>12</v>
      </c>
      <c r="AR57">
        <v>5</v>
      </c>
      <c r="AS57">
        <v>2</v>
      </c>
      <c r="AT57">
        <v>3</v>
      </c>
      <c r="AU57">
        <v>0</v>
      </c>
      <c r="AV57">
        <v>2</v>
      </c>
      <c r="AW57">
        <v>1</v>
      </c>
      <c r="AX57">
        <v>0</v>
      </c>
      <c r="AY57">
        <v>2</v>
      </c>
      <c r="AZ57">
        <v>2</v>
      </c>
      <c r="BA57">
        <v>0</v>
      </c>
      <c r="BB57">
        <v>5</v>
      </c>
      <c r="BC57">
        <v>0</v>
      </c>
      <c r="BD57">
        <v>5</v>
      </c>
      <c r="BE57">
        <v>3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1</v>
      </c>
      <c r="BM57">
        <v>0</v>
      </c>
      <c r="BN57">
        <v>0</v>
      </c>
      <c r="BO57">
        <v>0</v>
      </c>
      <c r="BP57">
        <v>1</v>
      </c>
      <c r="BQ57">
        <v>4</v>
      </c>
      <c r="BR57">
        <v>2</v>
      </c>
      <c r="BS57">
        <v>1</v>
      </c>
      <c r="BT57">
        <v>1</v>
      </c>
      <c r="BU57">
        <v>0</v>
      </c>
      <c r="BV57">
        <v>2</v>
      </c>
      <c r="BW57">
        <v>2</v>
      </c>
      <c r="BX57">
        <v>1</v>
      </c>
      <c r="BY57">
        <v>1</v>
      </c>
      <c r="BZ57">
        <v>1</v>
      </c>
      <c r="CA57">
        <v>0</v>
      </c>
      <c r="CB57">
        <v>2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2</v>
      </c>
      <c r="CM57">
        <v>0</v>
      </c>
      <c r="CN57">
        <v>0</v>
      </c>
      <c r="CO57">
        <v>0</v>
      </c>
      <c r="CP57">
        <v>0</v>
      </c>
      <c r="CQ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57"/>
  <sheetViews>
    <sheetView tabSelected="1" workbookViewId="0">
      <selection activeCell="AV4" sqref="AV4"/>
    </sheetView>
  </sheetViews>
  <sheetFormatPr defaultRowHeight="15" x14ac:dyDescent="0.25"/>
  <sheetData>
    <row r="1" spans="1:8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44</v>
      </c>
      <c r="AQ1" s="1" t="s">
        <v>45</v>
      </c>
      <c r="AR1" s="1" t="s">
        <v>47</v>
      </c>
      <c r="AS1" s="1" t="s">
        <v>48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60</v>
      </c>
      <c r="AZ1" s="1" t="s">
        <v>61</v>
      </c>
      <c r="BA1" s="1" t="s">
        <v>63</v>
      </c>
      <c r="BB1" s="1" t="s">
        <v>64</v>
      </c>
      <c r="BC1" s="1" t="s">
        <v>65</v>
      </c>
      <c r="BD1" s="1" t="s">
        <v>66</v>
      </c>
      <c r="BE1" s="1" t="s">
        <v>67</v>
      </c>
      <c r="BF1" s="1" t="s">
        <v>46</v>
      </c>
      <c r="BG1" s="1" t="s">
        <v>68</v>
      </c>
      <c r="BH1" s="1" t="s">
        <v>69</v>
      </c>
      <c r="BI1" s="1" t="s">
        <v>49</v>
      </c>
      <c r="BJ1" s="1" t="s">
        <v>70</v>
      </c>
      <c r="BK1" s="1" t="s">
        <v>71</v>
      </c>
      <c r="BL1" s="1" t="s">
        <v>72</v>
      </c>
      <c r="BM1" s="1" t="s">
        <v>73</v>
      </c>
      <c r="BN1" s="1" t="s">
        <v>74</v>
      </c>
      <c r="BO1" s="1" t="s">
        <v>75</v>
      </c>
      <c r="BP1" s="1" t="s">
        <v>76</v>
      </c>
      <c r="BQ1" s="1" t="s">
        <v>77</v>
      </c>
      <c r="BR1" s="1" t="s">
        <v>79</v>
      </c>
      <c r="BS1" s="1" t="s">
        <v>80</v>
      </c>
      <c r="BT1" s="1" t="s">
        <v>51</v>
      </c>
      <c r="BU1" s="1" t="s">
        <v>78</v>
      </c>
      <c r="BV1" s="1" t="s">
        <v>81</v>
      </c>
      <c r="BW1" s="1" t="s">
        <v>82</v>
      </c>
      <c r="BX1" s="1" t="s">
        <v>83</v>
      </c>
      <c r="BY1" s="1" t="s">
        <v>85</v>
      </c>
      <c r="BZ1" s="1" t="s">
        <v>86</v>
      </c>
      <c r="CA1" s="1" t="s">
        <v>87</v>
      </c>
      <c r="CB1" s="1" t="s">
        <v>89</v>
      </c>
      <c r="CC1" s="1" t="s">
        <v>90</v>
      </c>
      <c r="CD1" s="1" t="s">
        <v>84</v>
      </c>
      <c r="CE1" s="1" t="s">
        <v>62</v>
      </c>
      <c r="CF1" s="1" t="s">
        <v>50</v>
      </c>
      <c r="CG1" s="1" t="s">
        <v>92</v>
      </c>
      <c r="CH1" s="1" t="s">
        <v>52</v>
      </c>
      <c r="CI1" s="1" t="s">
        <v>94</v>
      </c>
      <c r="CJ1" s="1" t="s">
        <v>91</v>
      </c>
      <c r="CK1" s="1" t="s">
        <v>41</v>
      </c>
    </row>
    <row r="2" spans="1:89" x14ac:dyDescent="0.25">
      <c r="A2" s="4" t="s">
        <v>95</v>
      </c>
      <c r="B2" s="4" t="s">
        <v>96</v>
      </c>
      <c r="C2" s="4" t="s">
        <v>97</v>
      </c>
      <c r="D2" s="4">
        <v>1960</v>
      </c>
      <c r="E2" s="4" t="s">
        <v>98</v>
      </c>
      <c r="F2" s="4" t="s">
        <v>99</v>
      </c>
      <c r="G2" s="4" t="s">
        <v>100</v>
      </c>
      <c r="H2" s="4">
        <v>2</v>
      </c>
      <c r="I2" s="4">
        <v>0</v>
      </c>
      <c r="J2" s="4"/>
      <c r="K2" s="4" t="s">
        <v>101</v>
      </c>
      <c r="L2" s="4" t="s">
        <v>102</v>
      </c>
      <c r="M2" s="4">
        <v>2015</v>
      </c>
      <c r="N2" s="4">
        <v>2015</v>
      </c>
      <c r="O2" s="4" t="s">
        <v>103</v>
      </c>
      <c r="P2" s="4">
        <v>7</v>
      </c>
      <c r="Q2" s="4" t="s">
        <v>104</v>
      </c>
      <c r="R2" s="4">
        <v>63000</v>
      </c>
      <c r="S2" s="4">
        <v>63000</v>
      </c>
      <c r="T2" s="4"/>
      <c r="U2" s="4"/>
      <c r="V2" s="4">
        <v>450000</v>
      </c>
      <c r="W2" s="4" t="s">
        <v>105</v>
      </c>
      <c r="X2" s="4" t="s">
        <v>106</v>
      </c>
      <c r="Y2" s="4">
        <v>2</v>
      </c>
      <c r="Z2" s="4"/>
      <c r="AA2" s="4" t="s">
        <v>107</v>
      </c>
      <c r="AB2" s="4" t="s">
        <v>108</v>
      </c>
      <c r="AC2" s="4">
        <v>32</v>
      </c>
      <c r="AD2" s="4"/>
      <c r="AE2" s="4" t="s">
        <v>109</v>
      </c>
      <c r="AF2" s="4">
        <v>0.14000000000000001</v>
      </c>
      <c r="AG2" s="4" t="b">
        <v>0</v>
      </c>
      <c r="AH2" s="4">
        <v>225000</v>
      </c>
      <c r="AI2" s="4" t="s">
        <v>110</v>
      </c>
      <c r="AJ2" s="4" t="s">
        <v>111</v>
      </c>
      <c r="AK2" s="4" t="s">
        <v>112</v>
      </c>
      <c r="AL2" s="4">
        <v>31500</v>
      </c>
      <c r="AM2" s="4" t="s">
        <v>113</v>
      </c>
      <c r="AN2" s="4" t="s">
        <v>114</v>
      </c>
      <c r="AO2" s="4" t="s">
        <v>115</v>
      </c>
      <c r="AP2" s="4">
        <v>1</v>
      </c>
      <c r="AQ2" s="4">
        <v>1</v>
      </c>
      <c r="AR2" s="4">
        <v>1</v>
      </c>
      <c r="AS2" s="4">
        <v>1</v>
      </c>
      <c r="AT2" s="4">
        <v>1</v>
      </c>
      <c r="AU2" s="4">
        <v>0</v>
      </c>
      <c r="AV2" s="4">
        <v>0</v>
      </c>
      <c r="AW2" s="4">
        <v>1</v>
      </c>
      <c r="AX2" s="4">
        <v>1</v>
      </c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</row>
    <row r="3" spans="1:89" x14ac:dyDescent="0.25">
      <c r="A3" s="4" t="s">
        <v>116</v>
      </c>
      <c r="B3" s="4" t="s">
        <v>117</v>
      </c>
      <c r="C3" s="4" t="s">
        <v>118</v>
      </c>
      <c r="D3" s="4">
        <v>1971</v>
      </c>
      <c r="E3" s="4" t="s">
        <v>98</v>
      </c>
      <c r="F3" s="4" t="s">
        <v>99</v>
      </c>
      <c r="G3" s="4" t="s">
        <v>100</v>
      </c>
      <c r="H3" s="4">
        <v>2</v>
      </c>
      <c r="I3" s="4">
        <v>0</v>
      </c>
      <c r="J3" s="4">
        <v>105</v>
      </c>
      <c r="K3" s="4" t="s">
        <v>101</v>
      </c>
      <c r="L3" s="4" t="s">
        <v>119</v>
      </c>
      <c r="M3" s="4">
        <v>2021</v>
      </c>
      <c r="N3" s="4">
        <v>2021</v>
      </c>
      <c r="O3" s="4" t="s">
        <v>103</v>
      </c>
      <c r="P3" s="4">
        <v>2</v>
      </c>
      <c r="Q3" s="4" t="s">
        <v>120</v>
      </c>
      <c r="R3" s="4">
        <v>352000</v>
      </c>
      <c r="S3" s="4">
        <v>132000</v>
      </c>
      <c r="T3" s="4"/>
      <c r="U3" s="4">
        <v>220000</v>
      </c>
      <c r="V3" s="4">
        <v>1800000</v>
      </c>
      <c r="W3" s="4" t="s">
        <v>121</v>
      </c>
      <c r="X3" s="4" t="s">
        <v>122</v>
      </c>
      <c r="Y3" s="4">
        <v>4</v>
      </c>
      <c r="Z3" s="4"/>
      <c r="AA3" s="4" t="s">
        <v>123</v>
      </c>
      <c r="AB3" s="4" t="s">
        <v>124</v>
      </c>
      <c r="AC3" s="4">
        <v>69</v>
      </c>
      <c r="AD3" s="4"/>
      <c r="AE3" s="4" t="s">
        <v>125</v>
      </c>
      <c r="AF3" s="4">
        <v>0.19555555555555559</v>
      </c>
      <c r="AG3" s="4" t="b">
        <v>0</v>
      </c>
      <c r="AH3" s="4">
        <v>900000</v>
      </c>
      <c r="AI3" s="4" t="s">
        <v>110</v>
      </c>
      <c r="AJ3" s="4" t="s">
        <v>111</v>
      </c>
      <c r="AK3" s="4" t="s">
        <v>112</v>
      </c>
      <c r="AL3" s="4">
        <v>176000</v>
      </c>
      <c r="AM3" s="4" t="s">
        <v>126</v>
      </c>
      <c r="AN3" s="4" t="s">
        <v>127</v>
      </c>
      <c r="AO3" s="4" t="s">
        <v>128</v>
      </c>
      <c r="AP3" s="4"/>
      <c r="AQ3" s="4"/>
      <c r="AR3" s="4">
        <v>0</v>
      </c>
      <c r="AS3" s="4">
        <v>1</v>
      </c>
      <c r="AT3" s="4">
        <v>0.33333333333333331</v>
      </c>
      <c r="AU3" s="4">
        <v>0</v>
      </c>
      <c r="AV3" s="4">
        <v>0.33333333333333331</v>
      </c>
      <c r="AW3" s="4">
        <v>0.5</v>
      </c>
      <c r="AX3" s="4">
        <v>0</v>
      </c>
      <c r="AY3" s="4">
        <v>0.33333333333333331</v>
      </c>
      <c r="AZ3" s="4">
        <v>0</v>
      </c>
      <c r="BA3" s="4">
        <v>0</v>
      </c>
      <c r="BB3" s="4">
        <v>0</v>
      </c>
      <c r="BC3" s="4">
        <v>1</v>
      </c>
      <c r="BD3" s="4">
        <v>1</v>
      </c>
      <c r="BE3" s="4">
        <v>0</v>
      </c>
      <c r="BF3" s="4">
        <v>0</v>
      </c>
      <c r="BG3" s="4">
        <v>0</v>
      </c>
      <c r="BH3" s="4">
        <v>0</v>
      </c>
      <c r="BI3" s="4">
        <v>0.33333333333333331</v>
      </c>
      <c r="BJ3" s="4">
        <v>1</v>
      </c>
      <c r="BK3" s="4">
        <v>1</v>
      </c>
      <c r="BL3" s="4">
        <v>1</v>
      </c>
      <c r="BM3" s="4">
        <v>1</v>
      </c>
      <c r="BN3" s="4">
        <v>0</v>
      </c>
      <c r="BO3" s="4">
        <v>0.5</v>
      </c>
      <c r="BP3" s="4">
        <v>1</v>
      </c>
      <c r="BQ3" s="4">
        <v>1</v>
      </c>
      <c r="BR3" s="4">
        <v>0.16666666666666671</v>
      </c>
      <c r="BS3" s="4">
        <v>1</v>
      </c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</row>
    <row r="4" spans="1:89" x14ac:dyDescent="0.25">
      <c r="A4" s="4" t="s">
        <v>129</v>
      </c>
      <c r="B4" s="4" t="s">
        <v>118</v>
      </c>
      <c r="C4" s="4" t="s">
        <v>130</v>
      </c>
      <c r="D4" s="4">
        <v>2004</v>
      </c>
      <c r="E4" s="4" t="s">
        <v>98</v>
      </c>
      <c r="F4" s="4" t="s">
        <v>131</v>
      </c>
      <c r="G4" s="4" t="s">
        <v>132</v>
      </c>
      <c r="H4" s="4">
        <v>2</v>
      </c>
      <c r="I4" s="4">
        <v>0</v>
      </c>
      <c r="J4" s="4">
        <v>50</v>
      </c>
      <c r="K4" s="4" t="s">
        <v>133</v>
      </c>
      <c r="L4" s="4" t="s">
        <v>134</v>
      </c>
      <c r="M4" s="4">
        <v>2024</v>
      </c>
      <c r="N4" s="4">
        <v>2024</v>
      </c>
      <c r="O4" s="4" t="s">
        <v>135</v>
      </c>
      <c r="P4" s="4"/>
      <c r="Q4" s="4" t="s">
        <v>136</v>
      </c>
      <c r="R4" s="4">
        <v>294000</v>
      </c>
      <c r="S4" s="4">
        <v>99000</v>
      </c>
      <c r="T4" s="4">
        <v>195000</v>
      </c>
      <c r="U4" s="4"/>
      <c r="V4" s="4">
        <v>900000</v>
      </c>
      <c r="W4" s="4" t="s">
        <v>137</v>
      </c>
      <c r="X4" s="4" t="s">
        <v>138</v>
      </c>
      <c r="Y4" s="4">
        <v>3</v>
      </c>
      <c r="Z4" s="4"/>
      <c r="AA4" s="4" t="s">
        <v>139</v>
      </c>
      <c r="AB4" s="4"/>
      <c r="AC4" s="4">
        <v>49</v>
      </c>
      <c r="AD4" s="4"/>
      <c r="AE4" s="4" t="s">
        <v>140</v>
      </c>
      <c r="AF4" s="4">
        <v>0.32666666666666672</v>
      </c>
      <c r="AG4" s="4" t="b">
        <v>1</v>
      </c>
      <c r="AH4" s="4">
        <v>450000</v>
      </c>
      <c r="AI4" s="4" t="s">
        <v>141</v>
      </c>
      <c r="AJ4" s="4" t="s">
        <v>142</v>
      </c>
      <c r="AK4" s="4" t="s">
        <v>143</v>
      </c>
      <c r="AL4" s="4">
        <v>147000</v>
      </c>
      <c r="AM4" s="4" t="s">
        <v>144</v>
      </c>
      <c r="AN4" s="4" t="s">
        <v>145</v>
      </c>
      <c r="AO4" s="4" t="s">
        <v>128</v>
      </c>
      <c r="AP4" s="4"/>
      <c r="AQ4" s="4"/>
      <c r="AR4" s="4"/>
      <c r="AS4" s="4"/>
      <c r="AT4" s="4">
        <v>0.33333333333333331</v>
      </c>
      <c r="AU4" s="4">
        <v>0</v>
      </c>
      <c r="AV4" s="4">
        <v>0.2857142857142857</v>
      </c>
      <c r="AW4" s="4"/>
      <c r="AX4" s="4"/>
      <c r="AY4" s="4"/>
      <c r="AZ4" s="4"/>
      <c r="BA4" s="4"/>
      <c r="BB4" s="4">
        <v>0.33333333333333331</v>
      </c>
      <c r="BC4" s="4"/>
      <c r="BD4" s="4">
        <v>1</v>
      </c>
      <c r="BE4" s="4"/>
      <c r="BF4" s="4"/>
      <c r="BG4" s="4"/>
      <c r="BH4" s="4"/>
      <c r="BI4" s="4"/>
      <c r="BJ4" s="4">
        <v>1</v>
      </c>
      <c r="BK4" s="4"/>
      <c r="BL4" s="4"/>
      <c r="BM4" s="4">
        <v>1</v>
      </c>
      <c r="BN4" s="4"/>
      <c r="BO4" s="4"/>
      <c r="BP4" s="4"/>
      <c r="BQ4" s="4"/>
      <c r="BR4" s="4">
        <v>0</v>
      </c>
      <c r="BS4" s="4"/>
      <c r="BT4" s="4">
        <v>1</v>
      </c>
      <c r="BU4" s="4">
        <v>0</v>
      </c>
      <c r="BV4" s="4">
        <v>0</v>
      </c>
      <c r="BW4" s="4">
        <v>0</v>
      </c>
      <c r="BX4" s="4">
        <v>0</v>
      </c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</row>
    <row r="5" spans="1:89" x14ac:dyDescent="0.25">
      <c r="A5" s="4" t="s">
        <v>146</v>
      </c>
      <c r="B5" s="4" t="s">
        <v>117</v>
      </c>
      <c r="C5" s="4" t="s">
        <v>147</v>
      </c>
      <c r="D5" s="4">
        <v>1996</v>
      </c>
      <c r="E5" s="4" t="s">
        <v>148</v>
      </c>
      <c r="F5" s="4" t="s">
        <v>131</v>
      </c>
      <c r="G5" s="4" t="s">
        <v>100</v>
      </c>
      <c r="H5" s="4">
        <v>3</v>
      </c>
      <c r="I5" s="4">
        <v>0</v>
      </c>
      <c r="J5" s="4">
        <v>58</v>
      </c>
      <c r="K5" s="4" t="s">
        <v>133</v>
      </c>
      <c r="L5" s="4" t="s">
        <v>149</v>
      </c>
      <c r="M5" s="4">
        <v>2017</v>
      </c>
      <c r="N5" s="4">
        <v>2018</v>
      </c>
      <c r="O5" s="4" t="s">
        <v>103</v>
      </c>
      <c r="P5" s="4">
        <v>8</v>
      </c>
      <c r="Q5" s="4" t="s">
        <v>150</v>
      </c>
      <c r="R5" s="4">
        <v>140000</v>
      </c>
      <c r="S5" s="4">
        <v>75000</v>
      </c>
      <c r="T5" s="4"/>
      <c r="U5" s="4">
        <v>65000</v>
      </c>
      <c r="V5" s="4">
        <v>850000</v>
      </c>
      <c r="W5" s="4" t="s">
        <v>137</v>
      </c>
      <c r="X5" s="4" t="s">
        <v>151</v>
      </c>
      <c r="Y5" s="4">
        <v>0</v>
      </c>
      <c r="Z5" s="4"/>
      <c r="AA5" s="4" t="s">
        <v>152</v>
      </c>
      <c r="AB5" s="4"/>
      <c r="AC5" s="4">
        <v>49</v>
      </c>
      <c r="AD5" s="4"/>
      <c r="AE5" s="4" t="s">
        <v>140</v>
      </c>
      <c r="AF5" s="4">
        <v>0.1647058823529412</v>
      </c>
      <c r="AG5" s="4" t="b">
        <v>0</v>
      </c>
      <c r="AH5" s="4">
        <v>283333.33333333331</v>
      </c>
      <c r="AI5" s="4" t="s">
        <v>141</v>
      </c>
      <c r="AJ5" s="4" t="s">
        <v>142</v>
      </c>
      <c r="AK5" s="4" t="s">
        <v>112</v>
      </c>
      <c r="AL5" s="4">
        <v>46666.666666666657</v>
      </c>
      <c r="AM5" s="4" t="s">
        <v>126</v>
      </c>
      <c r="AN5" s="4" t="s">
        <v>127</v>
      </c>
      <c r="AO5" s="4" t="s">
        <v>115</v>
      </c>
      <c r="AP5" s="4"/>
      <c r="AQ5" s="4">
        <v>0</v>
      </c>
      <c r="AR5" s="4">
        <v>0</v>
      </c>
      <c r="AS5" s="4">
        <v>1</v>
      </c>
      <c r="AT5" s="4">
        <v>0</v>
      </c>
      <c r="AU5" s="4"/>
      <c r="AV5" s="4">
        <v>0.5714285714285714</v>
      </c>
      <c r="AW5" s="4">
        <v>0</v>
      </c>
      <c r="AX5" s="4">
        <v>0</v>
      </c>
      <c r="AY5" s="4"/>
      <c r="AZ5" s="4"/>
      <c r="BA5" s="4"/>
      <c r="BB5" s="4">
        <v>0.5</v>
      </c>
      <c r="BC5" s="4"/>
      <c r="BD5" s="4"/>
      <c r="BE5" s="4">
        <v>0</v>
      </c>
      <c r="BF5" s="4">
        <v>0</v>
      </c>
      <c r="BG5" s="4">
        <v>0</v>
      </c>
      <c r="BH5" s="4">
        <v>1</v>
      </c>
      <c r="BI5" s="4"/>
      <c r="BJ5" s="4">
        <v>1</v>
      </c>
      <c r="BK5" s="4"/>
      <c r="BL5" s="4"/>
      <c r="BM5" s="4"/>
      <c r="BN5" s="4">
        <v>0.5</v>
      </c>
      <c r="BO5" s="4">
        <v>0.33333333333333331</v>
      </c>
      <c r="BP5" s="4">
        <v>1</v>
      </c>
      <c r="BQ5" s="4"/>
      <c r="BR5" s="4"/>
      <c r="BS5" s="4">
        <v>1</v>
      </c>
      <c r="BT5" s="4">
        <v>1</v>
      </c>
      <c r="BU5" s="4"/>
      <c r="BV5" s="4"/>
      <c r="BW5" s="4"/>
      <c r="BX5" s="4"/>
      <c r="BY5" s="4">
        <v>0.33333333333333331</v>
      </c>
      <c r="BZ5" s="4">
        <v>0.5</v>
      </c>
      <c r="CA5" s="4">
        <v>1</v>
      </c>
      <c r="CB5" s="4"/>
      <c r="CC5" s="4"/>
      <c r="CD5" s="4"/>
      <c r="CE5" s="4"/>
      <c r="CF5" s="4"/>
      <c r="CG5" s="4"/>
      <c r="CH5" s="4"/>
      <c r="CI5" s="4"/>
      <c r="CJ5" s="4"/>
      <c r="CK5" s="4"/>
    </row>
    <row r="6" spans="1:89" x14ac:dyDescent="0.25">
      <c r="A6" s="4" t="s">
        <v>153</v>
      </c>
      <c r="B6" s="4" t="s">
        <v>117</v>
      </c>
      <c r="C6" s="4" t="s">
        <v>154</v>
      </c>
      <c r="D6" s="4">
        <v>1979</v>
      </c>
      <c r="E6" s="4" t="s">
        <v>148</v>
      </c>
      <c r="F6" s="4" t="s">
        <v>99</v>
      </c>
      <c r="G6" s="4" t="s">
        <v>100</v>
      </c>
      <c r="H6" s="4">
        <v>1</v>
      </c>
      <c r="I6" s="4">
        <v>0</v>
      </c>
      <c r="J6" s="4">
        <v>54</v>
      </c>
      <c r="K6" s="4" t="s">
        <v>133</v>
      </c>
      <c r="L6" s="4" t="s">
        <v>155</v>
      </c>
      <c r="M6" s="4">
        <v>2014</v>
      </c>
      <c r="N6" s="4">
        <v>2014</v>
      </c>
      <c r="O6" s="4" t="s">
        <v>103</v>
      </c>
      <c r="P6" s="4">
        <v>7</v>
      </c>
      <c r="Q6" s="4" t="s">
        <v>104</v>
      </c>
      <c r="R6" s="4">
        <v>200000</v>
      </c>
      <c r="S6" s="4">
        <v>100000</v>
      </c>
      <c r="T6" s="4"/>
      <c r="U6" s="4">
        <v>100000</v>
      </c>
      <c r="V6" s="4">
        <v>575000</v>
      </c>
      <c r="W6" s="4" t="s">
        <v>156</v>
      </c>
      <c r="X6" s="4" t="s">
        <v>138</v>
      </c>
      <c r="Y6" s="4">
        <v>2</v>
      </c>
      <c r="Z6" s="4"/>
      <c r="AA6" s="4" t="s">
        <v>157</v>
      </c>
      <c r="AB6" s="4" t="s">
        <v>158</v>
      </c>
      <c r="AC6" s="4">
        <v>75</v>
      </c>
      <c r="AD6" s="4"/>
      <c r="AE6" s="4" t="s">
        <v>140</v>
      </c>
      <c r="AF6" s="4">
        <v>0.34782608695652167</v>
      </c>
      <c r="AG6" s="4" t="b">
        <v>1</v>
      </c>
      <c r="AH6" s="4">
        <v>575000</v>
      </c>
      <c r="AI6" s="4" t="s">
        <v>110</v>
      </c>
      <c r="AJ6" s="4" t="s">
        <v>159</v>
      </c>
      <c r="AK6" s="4" t="s">
        <v>112</v>
      </c>
      <c r="AL6" s="4">
        <v>200000</v>
      </c>
      <c r="AM6" s="4" t="s">
        <v>126</v>
      </c>
      <c r="AN6" s="4" t="s">
        <v>114</v>
      </c>
      <c r="AO6" s="4" t="s">
        <v>128</v>
      </c>
      <c r="AP6" s="4"/>
      <c r="AQ6" s="4"/>
      <c r="AR6" s="4">
        <v>0</v>
      </c>
      <c r="AS6" s="4">
        <v>0</v>
      </c>
      <c r="AT6" s="4">
        <v>0</v>
      </c>
      <c r="AU6" s="4">
        <v>0</v>
      </c>
      <c r="AV6" s="4">
        <v>0.16666666666666671</v>
      </c>
      <c r="AW6" s="4">
        <v>0</v>
      </c>
      <c r="AX6" s="4">
        <v>0</v>
      </c>
      <c r="AY6" s="4">
        <v>0</v>
      </c>
      <c r="AZ6" s="4">
        <v>0</v>
      </c>
      <c r="BA6" s="4">
        <v>0.33333333333333331</v>
      </c>
      <c r="BB6" s="4">
        <v>0</v>
      </c>
      <c r="BC6" s="4"/>
      <c r="BD6" s="4"/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/>
      <c r="BK6" s="4"/>
      <c r="BL6" s="4"/>
      <c r="BM6" s="4"/>
      <c r="BN6" s="4"/>
      <c r="BO6" s="4">
        <v>0</v>
      </c>
      <c r="BP6" s="4"/>
      <c r="BQ6" s="4">
        <v>0</v>
      </c>
      <c r="BR6" s="4">
        <v>0</v>
      </c>
      <c r="BS6" s="4"/>
      <c r="BT6" s="4"/>
      <c r="BU6" s="4"/>
      <c r="BV6" s="4">
        <v>0</v>
      </c>
      <c r="BW6" s="4">
        <v>0</v>
      </c>
      <c r="BX6" s="4">
        <v>0</v>
      </c>
      <c r="BY6" s="4"/>
      <c r="BZ6" s="4"/>
      <c r="CA6" s="4"/>
      <c r="CB6" s="4">
        <v>0</v>
      </c>
      <c r="CC6" s="4">
        <v>0</v>
      </c>
      <c r="CD6" s="4"/>
      <c r="CE6" s="4"/>
      <c r="CF6" s="4"/>
      <c r="CG6" s="4"/>
      <c r="CH6" s="4"/>
      <c r="CI6" s="4"/>
      <c r="CJ6" s="4"/>
      <c r="CK6" s="4"/>
    </row>
    <row r="7" spans="1:89" x14ac:dyDescent="0.25">
      <c r="A7" s="4" t="s">
        <v>160</v>
      </c>
      <c r="B7" s="4" t="s">
        <v>161</v>
      </c>
      <c r="C7" s="4" t="s">
        <v>162</v>
      </c>
      <c r="D7" s="4">
        <v>1949</v>
      </c>
      <c r="E7" s="4" t="s">
        <v>98</v>
      </c>
      <c r="F7" s="4" t="s">
        <v>99</v>
      </c>
      <c r="G7" s="4" t="s">
        <v>100</v>
      </c>
      <c r="H7" s="4">
        <v>1</v>
      </c>
      <c r="I7" s="4">
        <v>0</v>
      </c>
      <c r="J7" s="4">
        <v>75</v>
      </c>
      <c r="K7" s="4" t="s">
        <v>101</v>
      </c>
      <c r="L7" s="4" t="s">
        <v>163</v>
      </c>
      <c r="M7" s="4">
        <v>2012</v>
      </c>
      <c r="N7" s="4">
        <v>2012</v>
      </c>
      <c r="O7" s="4" t="s">
        <v>103</v>
      </c>
      <c r="P7" s="4">
        <v>7</v>
      </c>
      <c r="Q7" s="4" t="s">
        <v>104</v>
      </c>
      <c r="R7" s="4">
        <v>50000</v>
      </c>
      <c r="S7" s="4">
        <v>28000</v>
      </c>
      <c r="T7" s="4"/>
      <c r="U7" s="4"/>
      <c r="V7" s="4">
        <v>127000</v>
      </c>
      <c r="W7" s="4" t="s">
        <v>156</v>
      </c>
      <c r="X7" s="4" t="s">
        <v>106</v>
      </c>
      <c r="Y7" s="4">
        <v>5</v>
      </c>
      <c r="Z7" s="4"/>
      <c r="AA7" s="4" t="s">
        <v>164</v>
      </c>
      <c r="AB7" s="4" t="s">
        <v>165</v>
      </c>
      <c r="AC7" s="4">
        <v>33</v>
      </c>
      <c r="AD7" s="4"/>
      <c r="AE7" s="4" t="s">
        <v>109</v>
      </c>
      <c r="AF7" s="4">
        <v>0.39370078740157483</v>
      </c>
      <c r="AG7" s="4" t="b">
        <v>1</v>
      </c>
      <c r="AH7" s="4">
        <v>127000</v>
      </c>
      <c r="AI7" s="4" t="s">
        <v>110</v>
      </c>
      <c r="AJ7" s="4" t="s">
        <v>166</v>
      </c>
      <c r="AK7" s="4" t="s">
        <v>112</v>
      </c>
      <c r="AL7" s="4">
        <v>50000</v>
      </c>
      <c r="AM7" s="4" t="s">
        <v>113</v>
      </c>
      <c r="AN7" s="4" t="s">
        <v>114</v>
      </c>
      <c r="AO7" s="4" t="s">
        <v>167</v>
      </c>
      <c r="AP7" s="4"/>
      <c r="AQ7" s="4"/>
      <c r="AR7" s="4"/>
      <c r="AS7" s="4"/>
      <c r="AT7" s="4">
        <v>1</v>
      </c>
      <c r="AU7" s="4"/>
      <c r="AV7" s="4"/>
      <c r="AW7" s="4">
        <v>1</v>
      </c>
      <c r="AX7" s="4"/>
      <c r="AY7" s="4"/>
      <c r="AZ7" s="4"/>
      <c r="BA7" s="4"/>
      <c r="BB7" s="4"/>
      <c r="BC7" s="4"/>
      <c r="BD7" s="4">
        <v>1</v>
      </c>
      <c r="BE7" s="4"/>
      <c r="BF7" s="4"/>
      <c r="BG7" s="4"/>
      <c r="BH7" s="4"/>
      <c r="BI7" s="4"/>
      <c r="BJ7" s="4">
        <v>1</v>
      </c>
      <c r="BK7" s="4"/>
      <c r="BL7" s="4"/>
      <c r="BM7" s="4"/>
      <c r="BN7" s="4">
        <v>1</v>
      </c>
      <c r="BO7" s="4">
        <v>1</v>
      </c>
      <c r="BP7" s="4">
        <v>1</v>
      </c>
      <c r="BQ7" s="4"/>
      <c r="BR7" s="4">
        <v>1</v>
      </c>
      <c r="BS7" s="4">
        <v>1</v>
      </c>
      <c r="BT7" s="4"/>
      <c r="BU7" s="4"/>
      <c r="BV7" s="4"/>
      <c r="BW7" s="4"/>
      <c r="BX7" s="4"/>
      <c r="BY7" s="4">
        <v>1</v>
      </c>
      <c r="BZ7" s="4"/>
      <c r="CA7" s="4"/>
      <c r="CB7" s="4"/>
      <c r="CC7" s="4"/>
      <c r="CD7" s="4">
        <v>1</v>
      </c>
      <c r="CE7" s="4"/>
      <c r="CF7" s="4"/>
      <c r="CG7" s="4"/>
      <c r="CH7" s="4"/>
      <c r="CI7" s="4"/>
      <c r="CJ7" s="4"/>
      <c r="CK7" s="4"/>
    </row>
    <row r="8" spans="1:89" x14ac:dyDescent="0.25">
      <c r="A8" s="4" t="s">
        <v>168</v>
      </c>
      <c r="B8" s="4" t="s">
        <v>161</v>
      </c>
      <c r="C8" s="4" t="s">
        <v>162</v>
      </c>
      <c r="D8" s="4">
        <v>1958</v>
      </c>
      <c r="E8" s="4" t="s">
        <v>148</v>
      </c>
      <c r="F8" s="4" t="s">
        <v>99</v>
      </c>
      <c r="G8" s="4" t="s">
        <v>100</v>
      </c>
      <c r="H8" s="4">
        <v>2</v>
      </c>
      <c r="I8" s="4">
        <v>0</v>
      </c>
      <c r="J8" s="4">
        <v>100</v>
      </c>
      <c r="K8" s="4" t="s">
        <v>101</v>
      </c>
      <c r="L8" s="4" t="s">
        <v>169</v>
      </c>
      <c r="M8" s="4">
        <v>1990</v>
      </c>
      <c r="N8" s="4">
        <v>1990</v>
      </c>
      <c r="O8" s="4" t="s">
        <v>103</v>
      </c>
      <c r="P8" s="4">
        <v>3</v>
      </c>
      <c r="Q8" s="4" t="s">
        <v>120</v>
      </c>
      <c r="R8" s="4">
        <v>100000</v>
      </c>
      <c r="S8" s="4"/>
      <c r="T8" s="4"/>
      <c r="U8" s="4"/>
      <c r="V8" s="4">
        <v>400000</v>
      </c>
      <c r="W8" s="4" t="s">
        <v>137</v>
      </c>
      <c r="X8" s="4" t="s">
        <v>106</v>
      </c>
      <c r="Y8" s="4">
        <v>3</v>
      </c>
      <c r="Z8" s="4"/>
      <c r="AA8" s="4" t="s">
        <v>170</v>
      </c>
      <c r="AB8" s="4"/>
      <c r="AC8" s="4">
        <v>40</v>
      </c>
      <c r="AD8" s="4"/>
      <c r="AE8" s="4" t="s">
        <v>109</v>
      </c>
      <c r="AF8" s="4">
        <v>0.25</v>
      </c>
      <c r="AG8" s="4" t="b">
        <v>0</v>
      </c>
      <c r="AH8" s="4">
        <v>200000</v>
      </c>
      <c r="AI8" s="4" t="s">
        <v>110</v>
      </c>
      <c r="AJ8" s="4" t="s">
        <v>166</v>
      </c>
      <c r="AK8" s="4" t="s">
        <v>112</v>
      </c>
      <c r="AL8" s="4">
        <v>50000</v>
      </c>
      <c r="AM8" s="4" t="s">
        <v>113</v>
      </c>
      <c r="AN8" s="4" t="s">
        <v>171</v>
      </c>
      <c r="AO8" s="4" t="s">
        <v>167</v>
      </c>
      <c r="AP8" s="4"/>
      <c r="AQ8" s="4"/>
      <c r="AR8" s="4">
        <v>0.66666666666666663</v>
      </c>
      <c r="AS8" s="4"/>
      <c r="AT8" s="4">
        <v>0.5</v>
      </c>
      <c r="AU8" s="4"/>
      <c r="AV8" s="4">
        <v>0.66666666666666663</v>
      </c>
      <c r="AW8" s="4">
        <v>1</v>
      </c>
      <c r="AX8" s="4"/>
      <c r="AY8" s="4">
        <v>0.5</v>
      </c>
      <c r="AZ8" s="4">
        <v>0</v>
      </c>
      <c r="BA8" s="4">
        <v>0</v>
      </c>
      <c r="BB8" s="4"/>
      <c r="BC8" s="4"/>
      <c r="BD8" s="4"/>
      <c r="BE8" s="4"/>
      <c r="BF8" s="4"/>
      <c r="BG8" s="4">
        <v>0</v>
      </c>
      <c r="BH8" s="4"/>
      <c r="BI8" s="4"/>
      <c r="BJ8" s="4"/>
      <c r="BK8" s="4"/>
      <c r="BL8" s="4"/>
      <c r="BM8" s="4"/>
      <c r="BN8" s="4">
        <v>1</v>
      </c>
      <c r="BO8" s="4"/>
      <c r="BP8" s="4">
        <v>1</v>
      </c>
      <c r="BQ8" s="4">
        <v>0</v>
      </c>
      <c r="BR8" s="4"/>
      <c r="BS8" s="4">
        <v>0.66666666666666663</v>
      </c>
      <c r="BT8" s="4"/>
      <c r="BU8" s="4"/>
      <c r="BV8" s="4"/>
      <c r="BW8" s="4"/>
      <c r="BX8" s="4"/>
      <c r="BY8" s="4"/>
      <c r="BZ8" s="4"/>
      <c r="CA8" s="4">
        <v>1</v>
      </c>
      <c r="CB8" s="4"/>
      <c r="CC8" s="4"/>
      <c r="CD8" s="4"/>
      <c r="CE8" s="4">
        <v>0</v>
      </c>
      <c r="CF8" s="4">
        <v>0</v>
      </c>
      <c r="CG8" s="4"/>
      <c r="CH8" s="4"/>
      <c r="CI8" s="4"/>
      <c r="CJ8" s="4"/>
      <c r="CK8" s="4"/>
    </row>
    <row r="9" spans="1:89" x14ac:dyDescent="0.25">
      <c r="A9" s="4" t="s">
        <v>172</v>
      </c>
      <c r="B9" s="4" t="s">
        <v>162</v>
      </c>
      <c r="C9" s="4" t="s">
        <v>161</v>
      </c>
      <c r="D9" s="4">
        <v>1948</v>
      </c>
      <c r="E9" s="4" t="s">
        <v>98</v>
      </c>
      <c r="F9" s="4" t="s">
        <v>131</v>
      </c>
      <c r="G9" s="4" t="s">
        <v>100</v>
      </c>
      <c r="H9" s="4">
        <v>2</v>
      </c>
      <c r="I9" s="4">
        <v>0</v>
      </c>
      <c r="J9" s="4">
        <v>78</v>
      </c>
      <c r="K9" s="4" t="s">
        <v>101</v>
      </c>
      <c r="L9" s="4" t="s">
        <v>173</v>
      </c>
      <c r="M9" s="4">
        <v>1948</v>
      </c>
      <c r="N9" s="4">
        <v>1948</v>
      </c>
      <c r="O9" s="4"/>
      <c r="P9" s="4"/>
      <c r="Q9" s="4" t="s">
        <v>174</v>
      </c>
      <c r="R9" s="4">
        <v>75000</v>
      </c>
      <c r="S9" s="4">
        <v>75000</v>
      </c>
      <c r="T9" s="4"/>
      <c r="U9" s="4"/>
      <c r="V9" s="4">
        <v>340000</v>
      </c>
      <c r="W9" s="4" t="s">
        <v>137</v>
      </c>
      <c r="X9" s="4" t="s">
        <v>175</v>
      </c>
      <c r="Y9" s="4">
        <v>1</v>
      </c>
      <c r="Z9" s="4"/>
      <c r="AA9" s="4" t="s">
        <v>176</v>
      </c>
      <c r="AB9" s="4" t="s">
        <v>177</v>
      </c>
      <c r="AC9" s="4">
        <v>28</v>
      </c>
      <c r="AD9" s="4"/>
      <c r="AE9" s="4" t="s">
        <v>178</v>
      </c>
      <c r="AF9" s="4">
        <v>0.22058823529411761</v>
      </c>
      <c r="AG9" s="4" t="b">
        <v>0</v>
      </c>
      <c r="AH9" s="4">
        <v>170000</v>
      </c>
      <c r="AI9" s="4" t="s">
        <v>141</v>
      </c>
      <c r="AJ9" s="4" t="s">
        <v>166</v>
      </c>
      <c r="AK9" s="4" t="s">
        <v>112</v>
      </c>
      <c r="AL9" s="4">
        <v>37500</v>
      </c>
      <c r="AM9" s="4" t="s">
        <v>113</v>
      </c>
      <c r="AN9" s="4" t="s">
        <v>171</v>
      </c>
      <c r="AO9" s="4" t="s">
        <v>167</v>
      </c>
      <c r="AP9" s="4"/>
      <c r="AQ9" s="4"/>
      <c r="AR9" s="4"/>
      <c r="AS9" s="4"/>
      <c r="AT9" s="4">
        <v>0</v>
      </c>
      <c r="AU9" s="4">
        <v>1</v>
      </c>
      <c r="AV9" s="4">
        <v>0</v>
      </c>
      <c r="AW9" s="4"/>
      <c r="AX9" s="4"/>
      <c r="AY9" s="4">
        <v>0</v>
      </c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>
        <v>0</v>
      </c>
      <c r="BO9" s="4">
        <v>0</v>
      </c>
      <c r="BP9" s="4"/>
      <c r="BQ9" s="4">
        <v>1</v>
      </c>
      <c r="BR9" s="4">
        <v>0</v>
      </c>
      <c r="BS9" s="4">
        <v>1</v>
      </c>
      <c r="BT9" s="4"/>
      <c r="BU9" s="4"/>
      <c r="BV9" s="4"/>
      <c r="BW9" s="4"/>
      <c r="BX9" s="4"/>
      <c r="BY9" s="4"/>
      <c r="BZ9" s="4">
        <v>0</v>
      </c>
      <c r="CA9" s="4">
        <v>1</v>
      </c>
      <c r="CB9" s="4"/>
      <c r="CC9" s="4"/>
      <c r="CD9" s="4"/>
      <c r="CE9" s="4"/>
      <c r="CF9" s="4">
        <v>0</v>
      </c>
      <c r="CG9" s="4"/>
      <c r="CH9" s="4"/>
      <c r="CI9" s="4"/>
      <c r="CJ9" s="4"/>
      <c r="CK9" s="4"/>
    </row>
    <row r="10" spans="1:89" x14ac:dyDescent="0.25">
      <c r="A10" s="4" t="s">
        <v>179</v>
      </c>
      <c r="B10" s="4" t="s">
        <v>162</v>
      </c>
      <c r="C10" s="4" t="s">
        <v>180</v>
      </c>
      <c r="D10" s="4">
        <v>1986</v>
      </c>
      <c r="E10" s="4" t="s">
        <v>148</v>
      </c>
      <c r="F10" s="4" t="s">
        <v>99</v>
      </c>
      <c r="G10" s="4" t="s">
        <v>100</v>
      </c>
      <c r="H10" s="4">
        <v>4</v>
      </c>
      <c r="I10" s="4">
        <v>2</v>
      </c>
      <c r="J10" s="4">
        <v>84</v>
      </c>
      <c r="K10" s="4" t="s">
        <v>101</v>
      </c>
      <c r="L10" s="4" t="s">
        <v>181</v>
      </c>
      <c r="M10" s="4">
        <v>2016</v>
      </c>
      <c r="N10" s="4">
        <v>2016</v>
      </c>
      <c r="O10" s="4" t="s">
        <v>103</v>
      </c>
      <c r="P10" s="4">
        <v>7</v>
      </c>
      <c r="Q10" s="4" t="s">
        <v>104</v>
      </c>
      <c r="R10" s="4">
        <v>75000</v>
      </c>
      <c r="S10" s="4">
        <v>75000</v>
      </c>
      <c r="T10" s="4"/>
      <c r="U10" s="4"/>
      <c r="V10" s="4">
        <v>1600000</v>
      </c>
      <c r="W10" s="4" t="s">
        <v>137</v>
      </c>
      <c r="X10" s="4" t="s">
        <v>106</v>
      </c>
      <c r="Y10" s="4">
        <v>4</v>
      </c>
      <c r="Z10" s="4"/>
      <c r="AA10" s="4" t="s">
        <v>182</v>
      </c>
      <c r="AB10" s="4" t="s">
        <v>183</v>
      </c>
      <c r="AC10" s="4">
        <v>37</v>
      </c>
      <c r="AD10" s="4"/>
      <c r="AE10" s="4" t="s">
        <v>109</v>
      </c>
      <c r="AF10" s="4">
        <v>4.6875E-2</v>
      </c>
      <c r="AG10" s="4" t="b">
        <v>0</v>
      </c>
      <c r="AH10" s="4">
        <v>400000</v>
      </c>
      <c r="AI10" s="4" t="s">
        <v>110</v>
      </c>
      <c r="AJ10" s="4" t="s">
        <v>159</v>
      </c>
      <c r="AK10" s="4" t="s">
        <v>112</v>
      </c>
      <c r="AL10" s="4">
        <v>18750</v>
      </c>
      <c r="AM10" s="4" t="s">
        <v>126</v>
      </c>
      <c r="AN10" s="4" t="s">
        <v>114</v>
      </c>
      <c r="AO10" s="4" t="s">
        <v>128</v>
      </c>
      <c r="AP10" s="4"/>
      <c r="AQ10" s="4"/>
      <c r="AR10" s="4"/>
      <c r="AS10" s="4">
        <v>1</v>
      </c>
      <c r="AT10" s="4">
        <v>0</v>
      </c>
      <c r="AU10" s="4"/>
      <c r="AV10" s="4">
        <v>1</v>
      </c>
      <c r="AW10" s="4"/>
      <c r="AX10" s="4"/>
      <c r="AY10" s="4">
        <v>1</v>
      </c>
      <c r="AZ10" s="4"/>
      <c r="BA10" s="4"/>
      <c r="BB10" s="4"/>
      <c r="BC10" s="4"/>
      <c r="BD10" s="4"/>
      <c r="BE10" s="4"/>
      <c r="BF10" s="4"/>
      <c r="BG10" s="4"/>
      <c r="BH10" s="4">
        <v>1</v>
      </c>
      <c r="BI10" s="4"/>
      <c r="BJ10" s="4"/>
      <c r="BK10" s="4"/>
      <c r="BL10" s="4"/>
      <c r="BM10" s="4"/>
      <c r="BN10" s="4">
        <v>0.66666666666666663</v>
      </c>
      <c r="BO10" s="4"/>
      <c r="BP10" s="4"/>
      <c r="BQ10" s="4"/>
      <c r="BR10" s="4"/>
      <c r="BS10" s="4"/>
      <c r="BT10" s="4">
        <v>1</v>
      </c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>
        <v>1</v>
      </c>
      <c r="CG10" s="4"/>
      <c r="CH10" s="4"/>
      <c r="CI10" s="4"/>
      <c r="CJ10" s="4"/>
      <c r="CK10" s="4"/>
    </row>
    <row r="11" spans="1:89" x14ac:dyDescent="0.25">
      <c r="A11" s="4" t="s">
        <v>184</v>
      </c>
      <c r="B11" s="4" t="s">
        <v>185</v>
      </c>
      <c r="C11" s="4" t="s">
        <v>162</v>
      </c>
      <c r="D11" s="4">
        <v>1947</v>
      </c>
      <c r="E11" s="4" t="s">
        <v>148</v>
      </c>
      <c r="F11" s="4" t="s">
        <v>186</v>
      </c>
      <c r="G11" s="4" t="s">
        <v>187</v>
      </c>
      <c r="H11" s="4">
        <v>1</v>
      </c>
      <c r="I11" s="4">
        <v>0</v>
      </c>
      <c r="J11" s="4">
        <v>54</v>
      </c>
      <c r="K11" s="4" t="s">
        <v>101</v>
      </c>
      <c r="L11" s="4" t="s">
        <v>188</v>
      </c>
      <c r="M11" s="4">
        <v>2014</v>
      </c>
      <c r="N11" s="4">
        <v>2014</v>
      </c>
      <c r="O11" s="4" t="s">
        <v>103</v>
      </c>
      <c r="P11" s="4">
        <v>11</v>
      </c>
      <c r="Q11" s="4" t="s">
        <v>120</v>
      </c>
      <c r="R11" s="4">
        <v>80000</v>
      </c>
      <c r="S11" s="4">
        <v>80000</v>
      </c>
      <c r="T11" s="4"/>
      <c r="U11" s="4"/>
      <c r="V11" s="4"/>
      <c r="W11" s="4" t="s">
        <v>137</v>
      </c>
      <c r="X11" s="4" t="s">
        <v>138</v>
      </c>
      <c r="Y11" s="4">
        <v>1</v>
      </c>
      <c r="Z11" s="4"/>
      <c r="AA11" s="4" t="s">
        <v>189</v>
      </c>
      <c r="AB11" s="4"/>
      <c r="AC11" s="4">
        <v>34</v>
      </c>
      <c r="AD11" s="4"/>
      <c r="AE11" s="4" t="s">
        <v>140</v>
      </c>
      <c r="AF11" s="4"/>
      <c r="AG11" s="4"/>
      <c r="AH11" s="4"/>
      <c r="AI11" s="4" t="s">
        <v>190</v>
      </c>
      <c r="AJ11" s="4" t="s">
        <v>166</v>
      </c>
      <c r="AK11" s="4" t="s">
        <v>143</v>
      </c>
      <c r="AL11" s="4">
        <v>80000</v>
      </c>
      <c r="AM11" s="4" t="s">
        <v>113</v>
      </c>
      <c r="AN11" s="4" t="s">
        <v>114</v>
      </c>
      <c r="AO11" s="4"/>
      <c r="AP11" s="4">
        <v>0</v>
      </c>
      <c r="AQ11" s="4">
        <v>0</v>
      </c>
      <c r="AR11" s="4"/>
      <c r="AS11" s="4">
        <v>1</v>
      </c>
      <c r="AT11" s="4"/>
      <c r="AU11" s="4">
        <v>0</v>
      </c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>
        <v>0.5</v>
      </c>
      <c r="BI11" s="4"/>
      <c r="BJ11" s="4"/>
      <c r="BK11" s="4"/>
      <c r="BL11" s="4"/>
      <c r="BM11" s="4"/>
      <c r="BN11" s="4">
        <v>0</v>
      </c>
      <c r="BO11" s="4">
        <v>1</v>
      </c>
      <c r="BP11" s="4"/>
      <c r="BQ11" s="4"/>
      <c r="BR11" s="4">
        <v>0</v>
      </c>
      <c r="BS11" s="4"/>
      <c r="BT11" s="4"/>
      <c r="BU11" s="4"/>
      <c r="BV11" s="4"/>
      <c r="BW11" s="4"/>
      <c r="BX11" s="4">
        <v>0</v>
      </c>
      <c r="BY11" s="4"/>
      <c r="BZ11" s="4"/>
      <c r="CA11" s="4"/>
      <c r="CB11" s="4"/>
      <c r="CC11" s="4"/>
      <c r="CD11" s="4"/>
      <c r="CE11" s="4">
        <v>0</v>
      </c>
      <c r="CF11" s="4">
        <v>0.5</v>
      </c>
      <c r="CG11" s="4"/>
      <c r="CH11" s="4"/>
      <c r="CI11" s="4"/>
      <c r="CJ11" s="4"/>
      <c r="CK11" s="4"/>
    </row>
    <row r="12" spans="1:89" x14ac:dyDescent="0.25">
      <c r="A12" s="4" t="s">
        <v>191</v>
      </c>
      <c r="B12" s="4" t="s">
        <v>185</v>
      </c>
      <c r="C12" s="4" t="s">
        <v>162</v>
      </c>
      <c r="D12" s="4">
        <v>1974</v>
      </c>
      <c r="E12" s="4" t="s">
        <v>98</v>
      </c>
      <c r="F12" s="4" t="s">
        <v>192</v>
      </c>
      <c r="G12" s="4" t="s">
        <v>132</v>
      </c>
      <c r="H12" s="4">
        <v>2</v>
      </c>
      <c r="I12" s="4">
        <v>0</v>
      </c>
      <c r="J12" s="4">
        <v>90</v>
      </c>
      <c r="K12" s="4" t="s">
        <v>101</v>
      </c>
      <c r="L12" s="4" t="s">
        <v>193</v>
      </c>
      <c r="M12" s="4">
        <v>2000</v>
      </c>
      <c r="N12" s="4">
        <v>2025</v>
      </c>
      <c r="O12" s="4" t="s">
        <v>103</v>
      </c>
      <c r="P12" s="4">
        <v>8</v>
      </c>
      <c r="Q12" s="4" t="s">
        <v>150</v>
      </c>
      <c r="R12" s="4">
        <v>330000</v>
      </c>
      <c r="S12" s="4">
        <v>120000</v>
      </c>
      <c r="T12" s="4">
        <v>210000</v>
      </c>
      <c r="U12" s="4"/>
      <c r="V12" s="4">
        <v>560000</v>
      </c>
      <c r="W12" s="4" t="s">
        <v>156</v>
      </c>
      <c r="X12" s="4" t="s">
        <v>138</v>
      </c>
      <c r="Y12" s="4">
        <v>3</v>
      </c>
      <c r="Z12" s="4"/>
      <c r="AA12" s="4" t="s">
        <v>194</v>
      </c>
      <c r="AB12" s="4"/>
      <c r="AC12" s="4">
        <v>33</v>
      </c>
      <c r="AD12" s="4" t="s">
        <v>195</v>
      </c>
      <c r="AE12" s="4" t="s">
        <v>140</v>
      </c>
      <c r="AF12" s="4">
        <v>0.5892857142857143</v>
      </c>
      <c r="AG12" s="4" t="b">
        <v>1</v>
      </c>
      <c r="AH12" s="4">
        <v>280000</v>
      </c>
      <c r="AI12" s="4" t="s">
        <v>190</v>
      </c>
      <c r="AJ12" s="4" t="s">
        <v>111</v>
      </c>
      <c r="AK12" s="4" t="s">
        <v>143</v>
      </c>
      <c r="AL12" s="4">
        <v>165000</v>
      </c>
      <c r="AM12" s="4" t="s">
        <v>144</v>
      </c>
      <c r="AN12" s="4" t="s">
        <v>145</v>
      </c>
      <c r="AO12" s="4" t="s">
        <v>115</v>
      </c>
      <c r="AP12" s="4"/>
      <c r="AQ12" s="4"/>
      <c r="AR12" s="4"/>
      <c r="AS12" s="4"/>
      <c r="AT12" s="4"/>
      <c r="AU12" s="4"/>
      <c r="AV12" s="4"/>
      <c r="AW12" s="4">
        <v>0</v>
      </c>
      <c r="AX12" s="4"/>
      <c r="AY12" s="4"/>
      <c r="AZ12" s="4"/>
      <c r="BA12" s="4"/>
      <c r="BB12" s="4">
        <v>0</v>
      </c>
      <c r="BC12" s="4"/>
      <c r="BD12" s="4"/>
      <c r="BE12" s="4"/>
      <c r="BF12" s="4"/>
      <c r="BG12" s="4"/>
      <c r="BH12" s="4">
        <v>1</v>
      </c>
      <c r="BI12" s="4"/>
      <c r="BJ12" s="4"/>
      <c r="BK12" s="4">
        <v>1</v>
      </c>
      <c r="BL12" s="4"/>
      <c r="BM12" s="4"/>
      <c r="BN12" s="4">
        <v>1</v>
      </c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>
        <v>1</v>
      </c>
      <c r="CB12" s="4"/>
      <c r="CC12" s="4"/>
      <c r="CD12" s="4"/>
      <c r="CE12" s="4"/>
      <c r="CF12" s="4"/>
      <c r="CG12" s="4"/>
      <c r="CH12" s="4"/>
      <c r="CI12" s="4"/>
      <c r="CJ12" s="4"/>
      <c r="CK12" s="4"/>
    </row>
    <row r="13" spans="1:89" x14ac:dyDescent="0.25">
      <c r="A13" s="4" t="s">
        <v>196</v>
      </c>
      <c r="B13" s="4" t="s">
        <v>197</v>
      </c>
      <c r="C13" s="4" t="s">
        <v>185</v>
      </c>
      <c r="D13" s="4">
        <v>2005</v>
      </c>
      <c r="E13" s="4" t="s">
        <v>148</v>
      </c>
      <c r="F13" s="4" t="s">
        <v>198</v>
      </c>
      <c r="G13" s="4" t="s">
        <v>132</v>
      </c>
      <c r="H13" s="4">
        <v>1</v>
      </c>
      <c r="I13" s="4">
        <v>0</v>
      </c>
      <c r="J13" s="4">
        <v>18</v>
      </c>
      <c r="K13" s="4" t="s">
        <v>133</v>
      </c>
      <c r="L13" s="4" t="s">
        <v>199</v>
      </c>
      <c r="M13" s="4">
        <v>2023</v>
      </c>
      <c r="N13" s="4">
        <v>2025</v>
      </c>
      <c r="O13" s="4" t="s">
        <v>103</v>
      </c>
      <c r="P13" s="4">
        <v>4</v>
      </c>
      <c r="Q13" s="4" t="s">
        <v>104</v>
      </c>
      <c r="R13" s="4">
        <v>152000</v>
      </c>
      <c r="S13" s="4">
        <v>18000</v>
      </c>
      <c r="T13" s="4">
        <v>134000</v>
      </c>
      <c r="U13" s="4"/>
      <c r="V13" s="4">
        <v>600000</v>
      </c>
      <c r="W13" s="4" t="s">
        <v>105</v>
      </c>
      <c r="X13" s="4" t="s">
        <v>122</v>
      </c>
      <c r="Y13" s="4">
        <v>0</v>
      </c>
      <c r="Z13" s="4"/>
      <c r="AA13" s="4" t="s">
        <v>200</v>
      </c>
      <c r="AB13" s="4" t="s">
        <v>201</v>
      </c>
      <c r="AC13" s="4">
        <v>37</v>
      </c>
      <c r="AD13" s="4" t="s">
        <v>202</v>
      </c>
      <c r="AE13" s="4" t="s">
        <v>125</v>
      </c>
      <c r="AF13" s="4">
        <v>0.25333333333333341</v>
      </c>
      <c r="AG13" s="4" t="b">
        <v>0</v>
      </c>
      <c r="AH13" s="4">
        <v>600000</v>
      </c>
      <c r="AI13" s="4" t="s">
        <v>141</v>
      </c>
      <c r="AJ13" s="4" t="s">
        <v>142</v>
      </c>
      <c r="AK13" s="4" t="s">
        <v>143</v>
      </c>
      <c r="AL13" s="4">
        <v>152000</v>
      </c>
      <c r="AM13" s="4" t="s">
        <v>144</v>
      </c>
      <c r="AN13" s="4" t="s">
        <v>145</v>
      </c>
      <c r="AO13" s="4" t="s">
        <v>128</v>
      </c>
      <c r="AP13" s="4"/>
      <c r="AQ13" s="4"/>
      <c r="AR13" s="4"/>
      <c r="AS13" s="4"/>
      <c r="AT13" s="4">
        <v>0.33333333333333331</v>
      </c>
      <c r="AU13" s="4"/>
      <c r="AV13" s="4">
        <v>0.5</v>
      </c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>
        <v>0.66666666666666663</v>
      </c>
      <c r="BS13" s="4">
        <v>1</v>
      </c>
      <c r="BT13" s="4"/>
      <c r="BU13" s="4"/>
      <c r="BV13" s="4"/>
      <c r="BW13" s="4"/>
      <c r="BX13" s="4"/>
      <c r="BY13" s="4"/>
      <c r="BZ13" s="4"/>
      <c r="CA13" s="4">
        <v>0</v>
      </c>
      <c r="CB13" s="4"/>
      <c r="CC13" s="4"/>
      <c r="CD13" s="4"/>
      <c r="CE13" s="4"/>
      <c r="CF13" s="4"/>
      <c r="CG13" s="4"/>
      <c r="CH13" s="4"/>
      <c r="CI13" s="4"/>
      <c r="CJ13" s="4"/>
      <c r="CK13" s="4"/>
    </row>
    <row r="14" spans="1:89" x14ac:dyDescent="0.25">
      <c r="A14" s="4" t="s">
        <v>203</v>
      </c>
      <c r="B14" s="4" t="s">
        <v>185</v>
      </c>
      <c r="C14" s="4" t="s">
        <v>197</v>
      </c>
      <c r="D14" s="4">
        <v>1997</v>
      </c>
      <c r="E14" s="4" t="s">
        <v>148</v>
      </c>
      <c r="F14" s="4" t="s">
        <v>99</v>
      </c>
      <c r="G14" s="4" t="s">
        <v>132</v>
      </c>
      <c r="H14" s="4">
        <v>2</v>
      </c>
      <c r="I14" s="4">
        <v>0</v>
      </c>
      <c r="J14" s="4">
        <v>62</v>
      </c>
      <c r="K14" s="4" t="s">
        <v>133</v>
      </c>
      <c r="L14" s="4" t="s">
        <v>204</v>
      </c>
      <c r="M14" s="4">
        <v>2016</v>
      </c>
      <c r="N14" s="4">
        <v>2019</v>
      </c>
      <c r="O14" s="4" t="s">
        <v>103</v>
      </c>
      <c r="P14" s="4">
        <v>8</v>
      </c>
      <c r="Q14" s="4" t="s">
        <v>150</v>
      </c>
      <c r="R14" s="4">
        <v>200000</v>
      </c>
      <c r="S14" s="4">
        <v>40000</v>
      </c>
      <c r="T14" s="4">
        <v>160000</v>
      </c>
      <c r="U14" s="4"/>
      <c r="V14" s="4">
        <v>650000</v>
      </c>
      <c r="W14" s="4" t="s">
        <v>105</v>
      </c>
      <c r="X14" s="4" t="s">
        <v>151</v>
      </c>
      <c r="Y14" s="4">
        <v>2</v>
      </c>
      <c r="Z14" s="4"/>
      <c r="AA14" s="4" t="s">
        <v>205</v>
      </c>
      <c r="AB14" s="4"/>
      <c r="AC14" s="4">
        <v>44</v>
      </c>
      <c r="AD14" s="4"/>
      <c r="AE14" s="4" t="s">
        <v>140</v>
      </c>
      <c r="AF14" s="4">
        <v>0.30769230769230771</v>
      </c>
      <c r="AG14" s="4" t="b">
        <v>1</v>
      </c>
      <c r="AH14" s="4">
        <v>325000</v>
      </c>
      <c r="AI14" s="4" t="s">
        <v>110</v>
      </c>
      <c r="AJ14" s="4" t="s">
        <v>142</v>
      </c>
      <c r="AK14" s="4" t="s">
        <v>143</v>
      </c>
      <c r="AL14" s="4">
        <v>100000</v>
      </c>
      <c r="AM14" s="4" t="s">
        <v>144</v>
      </c>
      <c r="AN14" s="4" t="s">
        <v>127</v>
      </c>
      <c r="AO14" s="4" t="s">
        <v>115</v>
      </c>
      <c r="AP14" s="4"/>
      <c r="AQ14" s="4"/>
      <c r="AR14" s="4"/>
      <c r="AS14" s="4">
        <v>0.5</v>
      </c>
      <c r="AT14" s="4">
        <v>0.16666666666666671</v>
      </c>
      <c r="AU14" s="4"/>
      <c r="AV14" s="4">
        <v>0</v>
      </c>
      <c r="AW14" s="4"/>
      <c r="AX14" s="4">
        <v>0</v>
      </c>
      <c r="AY14" s="4"/>
      <c r="AZ14" s="4"/>
      <c r="BA14" s="4"/>
      <c r="BB14" s="4">
        <v>0</v>
      </c>
      <c r="BC14" s="4"/>
      <c r="BD14" s="4">
        <v>0</v>
      </c>
      <c r="BE14" s="4">
        <v>0</v>
      </c>
      <c r="BF14" s="4"/>
      <c r="BG14" s="4">
        <v>0</v>
      </c>
      <c r="BH14" s="4">
        <v>0.25</v>
      </c>
      <c r="BI14" s="4">
        <v>0</v>
      </c>
      <c r="BJ14" s="4">
        <v>1</v>
      </c>
      <c r="BK14" s="4"/>
      <c r="BL14" s="4"/>
      <c r="BM14" s="4"/>
      <c r="BN14" s="4"/>
      <c r="BO14" s="4"/>
      <c r="BP14" s="4">
        <v>1</v>
      </c>
      <c r="BQ14" s="4">
        <v>1</v>
      </c>
      <c r="BR14" s="4"/>
      <c r="BS14" s="4"/>
      <c r="BT14" s="4">
        <v>0</v>
      </c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>
        <v>0</v>
      </c>
      <c r="CG14" s="4">
        <v>0</v>
      </c>
      <c r="CH14" s="4"/>
      <c r="CI14" s="4"/>
      <c r="CJ14" s="4"/>
      <c r="CK14" s="4"/>
    </row>
    <row r="15" spans="1:89" x14ac:dyDescent="0.25">
      <c r="A15" s="4" t="s">
        <v>206</v>
      </c>
      <c r="B15" s="4" t="s">
        <v>207</v>
      </c>
      <c r="C15" s="4" t="s">
        <v>208</v>
      </c>
      <c r="D15" s="4">
        <v>2000</v>
      </c>
      <c r="E15" s="4" t="s">
        <v>148</v>
      </c>
      <c r="F15" s="4" t="s">
        <v>131</v>
      </c>
      <c r="G15" s="4" t="s">
        <v>100</v>
      </c>
      <c r="H15" s="4">
        <v>1</v>
      </c>
      <c r="I15" s="4">
        <v>0</v>
      </c>
      <c r="J15" s="4">
        <v>35</v>
      </c>
      <c r="K15" s="4" t="s">
        <v>133</v>
      </c>
      <c r="L15" s="4" t="s">
        <v>209</v>
      </c>
      <c r="M15" s="4">
        <v>2020</v>
      </c>
      <c r="N15" s="4">
        <v>2020</v>
      </c>
      <c r="O15" s="4" t="s">
        <v>103</v>
      </c>
      <c r="P15" s="4">
        <v>2</v>
      </c>
      <c r="Q15" s="4" t="s">
        <v>120</v>
      </c>
      <c r="R15" s="4">
        <v>30000</v>
      </c>
      <c r="S15" s="4">
        <v>30000</v>
      </c>
      <c r="T15" s="4"/>
      <c r="U15" s="4"/>
      <c r="V15" s="4">
        <v>310000</v>
      </c>
      <c r="W15" s="4" t="s">
        <v>137</v>
      </c>
      <c r="X15" s="4" t="s">
        <v>210</v>
      </c>
      <c r="Y15" s="4">
        <v>0</v>
      </c>
      <c r="Z15" s="4"/>
      <c r="AA15" s="4" t="s">
        <v>211</v>
      </c>
      <c r="AB15" s="4"/>
      <c r="AC15" s="4">
        <v>30</v>
      </c>
      <c r="AD15" s="4" t="s">
        <v>212</v>
      </c>
      <c r="AE15" s="4" t="s">
        <v>140</v>
      </c>
      <c r="AF15" s="4">
        <v>9.6774193548387094E-2</v>
      </c>
      <c r="AG15" s="4" t="b">
        <v>0</v>
      </c>
      <c r="AH15" s="4">
        <v>310000</v>
      </c>
      <c r="AI15" s="4" t="s">
        <v>141</v>
      </c>
      <c r="AJ15" s="4" t="s">
        <v>142</v>
      </c>
      <c r="AK15" s="4" t="s">
        <v>112</v>
      </c>
      <c r="AL15" s="4">
        <v>30000</v>
      </c>
      <c r="AM15" s="4" t="s">
        <v>126</v>
      </c>
      <c r="AN15" s="4" t="s">
        <v>127</v>
      </c>
      <c r="AO15" s="4" t="s">
        <v>115</v>
      </c>
      <c r="AP15" s="4">
        <v>0.66666666666666663</v>
      </c>
      <c r="AQ15" s="4">
        <v>0</v>
      </c>
      <c r="AR15" s="4">
        <v>0.5</v>
      </c>
      <c r="AS15" s="4"/>
      <c r="AT15" s="4">
        <v>1</v>
      </c>
      <c r="AU15" s="4"/>
      <c r="AV15" s="4">
        <v>1</v>
      </c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>
        <v>0</v>
      </c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>
        <v>0</v>
      </c>
      <c r="BZ15" s="4">
        <v>0</v>
      </c>
      <c r="CA15" s="4"/>
      <c r="CB15" s="4"/>
      <c r="CC15" s="4"/>
      <c r="CD15" s="4"/>
      <c r="CE15" s="4"/>
      <c r="CF15" s="4">
        <v>1</v>
      </c>
      <c r="CG15" s="4"/>
      <c r="CH15" s="4"/>
      <c r="CI15" s="4"/>
      <c r="CJ15" s="4"/>
      <c r="CK15" s="4"/>
    </row>
    <row r="16" spans="1:89" x14ac:dyDescent="0.25">
      <c r="A16" s="4" t="s">
        <v>213</v>
      </c>
      <c r="B16" s="4" t="s">
        <v>147</v>
      </c>
      <c r="C16" s="4" t="s">
        <v>185</v>
      </c>
      <c r="D16" s="4">
        <v>1990</v>
      </c>
      <c r="E16" s="4" t="s">
        <v>98</v>
      </c>
      <c r="F16" s="4" t="s">
        <v>99</v>
      </c>
      <c r="G16" s="4" t="s">
        <v>100</v>
      </c>
      <c r="H16" s="4">
        <v>2</v>
      </c>
      <c r="I16" s="4">
        <v>0</v>
      </c>
      <c r="J16" s="4">
        <v>61</v>
      </c>
      <c r="K16" s="4" t="s">
        <v>133</v>
      </c>
      <c r="L16" s="4" t="s">
        <v>214</v>
      </c>
      <c r="M16" s="4">
        <v>2014</v>
      </c>
      <c r="N16" s="4">
        <v>2014</v>
      </c>
      <c r="O16" s="4" t="s">
        <v>215</v>
      </c>
      <c r="P16" s="4"/>
      <c r="Q16" s="4" t="s">
        <v>216</v>
      </c>
      <c r="R16" s="4">
        <v>60000</v>
      </c>
      <c r="S16" s="4">
        <v>60000</v>
      </c>
      <c r="T16" s="4"/>
      <c r="U16" s="4"/>
      <c r="V16" s="4"/>
      <c r="W16" s="4" t="s">
        <v>105</v>
      </c>
      <c r="X16" s="4" t="s">
        <v>151</v>
      </c>
      <c r="Y16" s="4">
        <v>2</v>
      </c>
      <c r="Z16" s="4"/>
      <c r="AA16" s="4" t="s">
        <v>217</v>
      </c>
      <c r="AB16" s="4"/>
      <c r="AC16" s="4">
        <v>53</v>
      </c>
      <c r="AD16" s="4"/>
      <c r="AE16" s="4" t="s">
        <v>140</v>
      </c>
      <c r="AF16" s="4"/>
      <c r="AG16" s="4"/>
      <c r="AH16" s="4"/>
      <c r="AI16" s="4" t="s">
        <v>110</v>
      </c>
      <c r="AJ16" s="4" t="s">
        <v>159</v>
      </c>
      <c r="AK16" s="4" t="s">
        <v>112</v>
      </c>
      <c r="AL16" s="4">
        <v>30000</v>
      </c>
      <c r="AM16" s="4" t="s">
        <v>126</v>
      </c>
      <c r="AN16" s="4" t="s">
        <v>114</v>
      </c>
      <c r="AO16" s="4"/>
      <c r="AP16" s="4"/>
      <c r="AQ16" s="4"/>
      <c r="AR16" s="4"/>
      <c r="AS16" s="4">
        <v>1</v>
      </c>
      <c r="AT16" s="4">
        <v>0.33333333333333331</v>
      </c>
      <c r="AU16" s="4">
        <v>0</v>
      </c>
      <c r="AV16" s="4">
        <v>0.66666666666666663</v>
      </c>
      <c r="AW16" s="4"/>
      <c r="AX16" s="4"/>
      <c r="AY16" s="4">
        <v>1</v>
      </c>
      <c r="AZ16" s="4"/>
      <c r="BA16" s="4"/>
      <c r="BB16" s="4">
        <v>1</v>
      </c>
      <c r="BC16" s="4">
        <v>1</v>
      </c>
      <c r="BD16" s="4">
        <v>1</v>
      </c>
      <c r="BE16" s="4"/>
      <c r="BF16" s="4"/>
      <c r="BG16" s="4"/>
      <c r="BH16" s="4"/>
      <c r="BI16" s="4">
        <v>1</v>
      </c>
      <c r="BJ16" s="4"/>
      <c r="BK16" s="4"/>
      <c r="BL16" s="4"/>
      <c r="BM16" s="4">
        <v>1</v>
      </c>
      <c r="BN16" s="4">
        <v>0.5</v>
      </c>
      <c r="BO16" s="4">
        <v>1</v>
      </c>
      <c r="BP16" s="4">
        <v>1</v>
      </c>
      <c r="BQ16" s="4">
        <v>0.66666666666666663</v>
      </c>
      <c r="BR16" s="4">
        <v>0</v>
      </c>
      <c r="BS16" s="4">
        <v>1</v>
      </c>
      <c r="BT16" s="4"/>
      <c r="BU16" s="4"/>
      <c r="BV16" s="4"/>
      <c r="BW16" s="4"/>
      <c r="BX16" s="4"/>
      <c r="BY16" s="4">
        <v>1</v>
      </c>
      <c r="BZ16" s="4"/>
      <c r="CA16" s="4"/>
      <c r="CB16" s="4"/>
      <c r="CC16" s="4"/>
      <c r="CD16" s="4"/>
      <c r="CE16" s="4"/>
      <c r="CF16" s="4">
        <v>0</v>
      </c>
      <c r="CG16" s="4"/>
      <c r="CH16" s="4"/>
      <c r="CI16" s="4"/>
      <c r="CJ16" s="4"/>
      <c r="CK16" s="4"/>
    </row>
    <row r="17" spans="1:89" x14ac:dyDescent="0.25">
      <c r="A17" s="4" t="s">
        <v>218</v>
      </c>
      <c r="B17" s="4" t="s">
        <v>147</v>
      </c>
      <c r="C17" s="4" t="s">
        <v>185</v>
      </c>
      <c r="D17" s="4">
        <v>1947</v>
      </c>
      <c r="E17" s="4" t="s">
        <v>98</v>
      </c>
      <c r="F17" s="4" t="s">
        <v>198</v>
      </c>
      <c r="G17" s="4" t="s">
        <v>187</v>
      </c>
      <c r="H17" s="4">
        <v>1</v>
      </c>
      <c r="I17" s="4">
        <v>0</v>
      </c>
      <c r="J17" s="4">
        <v>96</v>
      </c>
      <c r="K17" s="4" t="s">
        <v>101</v>
      </c>
      <c r="L17" s="4" t="s">
        <v>219</v>
      </c>
      <c r="M17" s="4">
        <v>1986</v>
      </c>
      <c r="N17" s="4">
        <v>1989</v>
      </c>
      <c r="O17" s="4" t="s">
        <v>220</v>
      </c>
      <c r="P17" s="4"/>
      <c r="Q17" s="4" t="s">
        <v>216</v>
      </c>
      <c r="R17" s="4">
        <v>80000</v>
      </c>
      <c r="S17" s="4">
        <v>80000</v>
      </c>
      <c r="T17" s="4"/>
      <c r="U17" s="4"/>
      <c r="V17" s="4">
        <v>210000</v>
      </c>
      <c r="W17" s="4" t="s">
        <v>137</v>
      </c>
      <c r="X17" s="4" t="s">
        <v>210</v>
      </c>
      <c r="Y17" s="4">
        <v>4</v>
      </c>
      <c r="Z17" s="4"/>
      <c r="AA17" s="4"/>
      <c r="AB17" s="4"/>
      <c r="AC17" s="4">
        <v>74</v>
      </c>
      <c r="AD17" s="4"/>
      <c r="AE17" s="4" t="s">
        <v>140</v>
      </c>
      <c r="AF17" s="4">
        <v>0.38095238095238088</v>
      </c>
      <c r="AG17" s="4" t="b">
        <v>1</v>
      </c>
      <c r="AH17" s="4">
        <v>210000</v>
      </c>
      <c r="AI17" s="4" t="s">
        <v>141</v>
      </c>
      <c r="AJ17" s="4" t="s">
        <v>166</v>
      </c>
      <c r="AK17" s="4" t="s">
        <v>143</v>
      </c>
      <c r="AL17" s="4">
        <v>80000</v>
      </c>
      <c r="AM17" s="4" t="s">
        <v>113</v>
      </c>
      <c r="AN17" s="4" t="s">
        <v>171</v>
      </c>
      <c r="AO17" s="4" t="s">
        <v>115</v>
      </c>
      <c r="AP17" s="4">
        <v>0</v>
      </c>
      <c r="AQ17" s="4">
        <v>0</v>
      </c>
      <c r="AR17" s="4"/>
      <c r="AS17" s="4"/>
      <c r="AT17" s="4">
        <v>0</v>
      </c>
      <c r="AU17" s="4">
        <v>0</v>
      </c>
      <c r="AV17" s="4">
        <v>0.2</v>
      </c>
      <c r="AW17" s="4">
        <v>1</v>
      </c>
      <c r="AX17" s="4"/>
      <c r="AY17" s="4"/>
      <c r="AZ17" s="4"/>
      <c r="BA17" s="4"/>
      <c r="BB17" s="4"/>
      <c r="BC17" s="4"/>
      <c r="BD17" s="4"/>
      <c r="BE17" s="4">
        <v>0</v>
      </c>
      <c r="BF17" s="4"/>
      <c r="BG17" s="4"/>
      <c r="BH17" s="4"/>
      <c r="BI17" s="4">
        <v>0</v>
      </c>
      <c r="BJ17" s="4">
        <v>1</v>
      </c>
      <c r="BK17" s="4"/>
      <c r="BL17" s="4"/>
      <c r="BM17" s="4"/>
      <c r="BN17" s="4">
        <v>0</v>
      </c>
      <c r="BO17" s="4">
        <v>1</v>
      </c>
      <c r="BP17" s="4">
        <v>1</v>
      </c>
      <c r="BQ17" s="4"/>
      <c r="BR17" s="4">
        <v>0</v>
      </c>
      <c r="BS17" s="4"/>
      <c r="BT17" s="4">
        <v>1</v>
      </c>
      <c r="BU17" s="4"/>
      <c r="BV17" s="4"/>
      <c r="BW17" s="4"/>
      <c r="BX17" s="4"/>
      <c r="BY17" s="4"/>
      <c r="BZ17" s="4"/>
      <c r="CA17" s="4">
        <v>0.5</v>
      </c>
      <c r="CB17" s="4"/>
      <c r="CC17" s="4"/>
      <c r="CD17" s="4"/>
      <c r="CE17" s="4"/>
      <c r="CF17" s="4"/>
      <c r="CG17" s="4"/>
      <c r="CH17" s="4"/>
      <c r="CI17" s="4"/>
      <c r="CJ17" s="4"/>
      <c r="CK17" s="4"/>
    </row>
    <row r="18" spans="1:89" x14ac:dyDescent="0.25">
      <c r="A18" s="4" t="s">
        <v>221</v>
      </c>
      <c r="B18" s="4" t="s">
        <v>118</v>
      </c>
      <c r="C18" s="4" t="s">
        <v>147</v>
      </c>
      <c r="D18" s="4">
        <v>2004</v>
      </c>
      <c r="E18" s="4" t="s">
        <v>98</v>
      </c>
      <c r="F18" s="4" t="s">
        <v>131</v>
      </c>
      <c r="G18" s="4" t="s">
        <v>132</v>
      </c>
      <c r="H18" s="4">
        <v>1</v>
      </c>
      <c r="I18" s="4">
        <v>0</v>
      </c>
      <c r="J18" s="4"/>
      <c r="K18" s="4" t="s">
        <v>133</v>
      </c>
      <c r="L18" s="4" t="s">
        <v>222</v>
      </c>
      <c r="M18" s="4">
        <v>2024</v>
      </c>
      <c r="N18" s="4">
        <v>2024</v>
      </c>
      <c r="O18" s="4" t="s">
        <v>223</v>
      </c>
      <c r="P18" s="4"/>
      <c r="Q18" s="4" t="s">
        <v>136</v>
      </c>
      <c r="R18" s="4">
        <v>258000</v>
      </c>
      <c r="S18" s="4">
        <v>30000</v>
      </c>
      <c r="T18" s="4">
        <v>228000</v>
      </c>
      <c r="U18" s="4"/>
      <c r="V18" s="4">
        <v>300000</v>
      </c>
      <c r="W18" s="4" t="s">
        <v>121</v>
      </c>
      <c r="X18" s="4" t="s">
        <v>151</v>
      </c>
      <c r="Y18" s="4">
        <v>2</v>
      </c>
      <c r="Z18" s="4"/>
      <c r="AA18" s="4"/>
      <c r="AB18" s="4"/>
      <c r="AC18" s="4">
        <v>38</v>
      </c>
      <c r="AD18" s="4" t="s">
        <v>224</v>
      </c>
      <c r="AE18" s="4" t="s">
        <v>140</v>
      </c>
      <c r="AF18" s="4">
        <v>0.86</v>
      </c>
      <c r="AG18" s="4" t="b">
        <v>1</v>
      </c>
      <c r="AH18" s="4">
        <v>300000</v>
      </c>
      <c r="AI18" s="4" t="s">
        <v>141</v>
      </c>
      <c r="AJ18" s="4" t="s">
        <v>142</v>
      </c>
      <c r="AK18" s="4" t="s">
        <v>143</v>
      </c>
      <c r="AL18" s="4">
        <v>258000</v>
      </c>
      <c r="AM18" s="4" t="s">
        <v>144</v>
      </c>
      <c r="AN18" s="4" t="s">
        <v>145</v>
      </c>
      <c r="AO18" s="4" t="s">
        <v>115</v>
      </c>
      <c r="AP18" s="4">
        <v>0</v>
      </c>
      <c r="AQ18" s="4"/>
      <c r="AR18" s="4"/>
      <c r="AS18" s="4"/>
      <c r="AT18" s="4">
        <v>1</v>
      </c>
      <c r="AU18" s="4">
        <v>0</v>
      </c>
      <c r="AV18" s="4">
        <v>1</v>
      </c>
      <c r="AW18" s="4"/>
      <c r="AX18" s="4"/>
      <c r="AY18" s="4"/>
      <c r="AZ18" s="4"/>
      <c r="BA18" s="4"/>
      <c r="BB18" s="4">
        <v>1</v>
      </c>
      <c r="BC18" s="4"/>
      <c r="BD18" s="4"/>
      <c r="BE18" s="4"/>
      <c r="BF18" s="4"/>
      <c r="BG18" s="4"/>
      <c r="BH18" s="4"/>
      <c r="BI18" s="4"/>
      <c r="BJ18" s="4"/>
      <c r="BK18" s="4"/>
      <c r="BL18" s="4">
        <v>1</v>
      </c>
      <c r="BM18" s="4">
        <v>1</v>
      </c>
      <c r="BN18" s="4">
        <v>1</v>
      </c>
      <c r="BO18" s="4">
        <v>1</v>
      </c>
      <c r="BP18" s="4">
        <v>1</v>
      </c>
      <c r="BQ18" s="4"/>
      <c r="BR18" s="4">
        <v>0.5</v>
      </c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</row>
    <row r="19" spans="1:89" x14ac:dyDescent="0.25">
      <c r="A19" s="4" t="s">
        <v>225</v>
      </c>
      <c r="B19" s="4" t="s">
        <v>197</v>
      </c>
      <c r="C19" s="4" t="s">
        <v>226</v>
      </c>
      <c r="D19" s="4">
        <v>2001</v>
      </c>
      <c r="E19" s="4" t="s">
        <v>148</v>
      </c>
      <c r="F19" s="4" t="s">
        <v>99</v>
      </c>
      <c r="G19" s="4" t="s">
        <v>132</v>
      </c>
      <c r="H19" s="4">
        <v>1</v>
      </c>
      <c r="I19" s="4">
        <v>0</v>
      </c>
      <c r="J19" s="4">
        <v>80</v>
      </c>
      <c r="K19" s="4" t="s">
        <v>133</v>
      </c>
      <c r="L19" s="4" t="s">
        <v>227</v>
      </c>
      <c r="M19" s="4">
        <v>2025</v>
      </c>
      <c r="N19" s="4">
        <v>2025</v>
      </c>
      <c r="O19" s="4" t="s">
        <v>228</v>
      </c>
      <c r="P19" s="4">
        <v>9</v>
      </c>
      <c r="Q19" s="4" t="s">
        <v>104</v>
      </c>
      <c r="R19" s="4">
        <v>110000</v>
      </c>
      <c r="S19" s="4"/>
      <c r="T19" s="4"/>
      <c r="U19" s="4"/>
      <c r="V19" s="4"/>
      <c r="W19" s="4" t="s">
        <v>229</v>
      </c>
      <c r="X19" s="4" t="s">
        <v>230</v>
      </c>
      <c r="Y19" s="4">
        <v>3</v>
      </c>
      <c r="Z19" s="4"/>
      <c r="AA19" s="4" t="s">
        <v>231</v>
      </c>
      <c r="AB19" s="4" t="s">
        <v>232</v>
      </c>
      <c r="AC19" s="4">
        <v>36</v>
      </c>
      <c r="AD19" s="4" t="s">
        <v>224</v>
      </c>
      <c r="AE19" s="4" t="s">
        <v>125</v>
      </c>
      <c r="AF19" s="4"/>
      <c r="AG19" s="4"/>
      <c r="AH19" s="4"/>
      <c r="AI19" s="4" t="s">
        <v>110</v>
      </c>
      <c r="AJ19" s="4" t="s">
        <v>142</v>
      </c>
      <c r="AK19" s="4" t="s">
        <v>143</v>
      </c>
      <c r="AL19" s="4">
        <v>110000</v>
      </c>
      <c r="AM19" s="4" t="s">
        <v>144</v>
      </c>
      <c r="AN19" s="4" t="s">
        <v>145</v>
      </c>
      <c r="AO19" s="4"/>
      <c r="AP19" s="4"/>
      <c r="AQ19" s="4"/>
      <c r="AR19" s="4"/>
      <c r="AS19" s="4"/>
      <c r="AT19" s="4">
        <v>0</v>
      </c>
      <c r="AU19" s="4">
        <v>0</v>
      </c>
      <c r="AV19" s="4">
        <v>0</v>
      </c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>
        <v>0</v>
      </c>
      <c r="BO19" s="4">
        <v>1</v>
      </c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</row>
    <row r="20" spans="1:89" x14ac:dyDescent="0.25">
      <c r="A20" s="4" t="s">
        <v>233</v>
      </c>
      <c r="B20" s="4" t="s">
        <v>197</v>
      </c>
      <c r="C20" s="4" t="s">
        <v>226</v>
      </c>
      <c r="D20" s="4">
        <v>1995</v>
      </c>
      <c r="E20" s="4" t="s">
        <v>148</v>
      </c>
      <c r="F20" s="4" t="s">
        <v>99</v>
      </c>
      <c r="G20" s="4" t="s">
        <v>100</v>
      </c>
      <c r="H20" s="4">
        <v>1</v>
      </c>
      <c r="I20" s="4">
        <v>0</v>
      </c>
      <c r="J20" s="4">
        <v>60</v>
      </c>
      <c r="K20" s="4" t="s">
        <v>101</v>
      </c>
      <c r="L20" s="4" t="s">
        <v>234</v>
      </c>
      <c r="M20" s="4">
        <v>2025</v>
      </c>
      <c r="N20" s="4">
        <v>2025</v>
      </c>
      <c r="O20" s="4" t="s">
        <v>103</v>
      </c>
      <c r="P20" s="4">
        <v>9</v>
      </c>
      <c r="Q20" s="4" t="s">
        <v>104</v>
      </c>
      <c r="R20" s="4"/>
      <c r="S20" s="4"/>
      <c r="T20" s="4"/>
      <c r="U20" s="4"/>
      <c r="V20" s="4">
        <v>300000</v>
      </c>
      <c r="W20" s="4" t="s">
        <v>137</v>
      </c>
      <c r="X20" s="4" t="s">
        <v>235</v>
      </c>
      <c r="Y20" s="4">
        <v>1</v>
      </c>
      <c r="Z20" s="4"/>
      <c r="AA20" s="4" t="s">
        <v>236</v>
      </c>
      <c r="AB20" s="4"/>
      <c r="AC20" s="4">
        <v>31</v>
      </c>
      <c r="AD20" s="4"/>
      <c r="AE20" s="4" t="s">
        <v>140</v>
      </c>
      <c r="AF20" s="4"/>
      <c r="AG20" s="4"/>
      <c r="AH20" s="4">
        <v>300000</v>
      </c>
      <c r="AI20" s="4" t="s">
        <v>110</v>
      </c>
      <c r="AJ20" s="4" t="s">
        <v>142</v>
      </c>
      <c r="AK20" s="4" t="s">
        <v>112</v>
      </c>
      <c r="AL20" s="4"/>
      <c r="AM20" s="4" t="s">
        <v>126</v>
      </c>
      <c r="AN20" s="4" t="s">
        <v>145</v>
      </c>
      <c r="AO20" s="4" t="s">
        <v>115</v>
      </c>
      <c r="AP20" s="4"/>
      <c r="AQ20" s="4"/>
      <c r="AR20" s="4"/>
      <c r="AS20" s="4"/>
      <c r="AT20" s="4">
        <v>0</v>
      </c>
      <c r="AU20" s="4"/>
      <c r="AV20" s="4">
        <v>0</v>
      </c>
      <c r="AW20" s="4"/>
      <c r="AX20" s="4"/>
      <c r="AY20" s="4"/>
      <c r="AZ20" s="4"/>
      <c r="BA20" s="4">
        <v>0</v>
      </c>
      <c r="BB20" s="4">
        <v>1</v>
      </c>
      <c r="BC20" s="4"/>
      <c r="BD20" s="4"/>
      <c r="BE20" s="4">
        <v>0</v>
      </c>
      <c r="BF20" s="4"/>
      <c r="BG20" s="4"/>
      <c r="BH20" s="4"/>
      <c r="BI20" s="4"/>
      <c r="BJ20" s="4"/>
      <c r="BK20" s="4"/>
      <c r="BL20" s="4"/>
      <c r="BM20" s="4"/>
      <c r="BN20" s="4">
        <v>1</v>
      </c>
      <c r="BO20" s="4"/>
      <c r="BP20" s="4"/>
      <c r="BQ20" s="4"/>
      <c r="BR20" s="4">
        <v>0</v>
      </c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</row>
    <row r="21" spans="1:89" x14ac:dyDescent="0.25">
      <c r="A21" s="4" t="s">
        <v>237</v>
      </c>
      <c r="B21" s="4" t="s">
        <v>197</v>
      </c>
      <c r="C21" s="4" t="s">
        <v>226</v>
      </c>
      <c r="D21" s="4">
        <v>1979</v>
      </c>
      <c r="E21" s="4" t="s">
        <v>148</v>
      </c>
      <c r="F21" s="4" t="s">
        <v>99</v>
      </c>
      <c r="G21" s="4" t="s">
        <v>100</v>
      </c>
      <c r="H21" s="4">
        <v>4</v>
      </c>
      <c r="I21" s="4">
        <v>2</v>
      </c>
      <c r="J21" s="4">
        <v>62</v>
      </c>
      <c r="K21" s="4" t="s">
        <v>133</v>
      </c>
      <c r="L21" s="4" t="s">
        <v>238</v>
      </c>
      <c r="M21" s="4">
        <v>2000</v>
      </c>
      <c r="N21" s="4">
        <v>2000</v>
      </c>
      <c r="O21" s="4" t="s">
        <v>239</v>
      </c>
      <c r="P21" s="4"/>
      <c r="Q21" s="4" t="s">
        <v>136</v>
      </c>
      <c r="R21" s="4">
        <v>50000</v>
      </c>
      <c r="S21" s="4">
        <v>50000</v>
      </c>
      <c r="T21" s="4"/>
      <c r="U21" s="4"/>
      <c r="V21" s="4">
        <v>900000</v>
      </c>
      <c r="W21" s="4" t="s">
        <v>105</v>
      </c>
      <c r="X21" s="4" t="s">
        <v>230</v>
      </c>
      <c r="Y21" s="4">
        <v>3</v>
      </c>
      <c r="Z21" s="4"/>
      <c r="AA21" s="4" t="s">
        <v>240</v>
      </c>
      <c r="AB21" s="4"/>
      <c r="AC21" s="4">
        <v>51</v>
      </c>
      <c r="AD21" s="4"/>
      <c r="AE21" s="4" t="s">
        <v>125</v>
      </c>
      <c r="AF21" s="4">
        <v>5.5555555555555552E-2</v>
      </c>
      <c r="AG21" s="4" t="b">
        <v>0</v>
      </c>
      <c r="AH21" s="4">
        <v>225000</v>
      </c>
      <c r="AI21" s="4" t="s">
        <v>110</v>
      </c>
      <c r="AJ21" s="4" t="s">
        <v>159</v>
      </c>
      <c r="AK21" s="4" t="s">
        <v>112</v>
      </c>
      <c r="AL21" s="4">
        <v>12500</v>
      </c>
      <c r="AM21" s="4" t="s">
        <v>126</v>
      </c>
      <c r="AN21" s="4" t="s">
        <v>114</v>
      </c>
      <c r="AO21" s="4" t="s">
        <v>115</v>
      </c>
      <c r="AP21" s="4"/>
      <c r="AQ21" s="4"/>
      <c r="AR21" s="4"/>
      <c r="AS21" s="4"/>
      <c r="AT21" s="4"/>
      <c r="AU21" s="4">
        <v>0</v>
      </c>
      <c r="AV21" s="4">
        <v>0</v>
      </c>
      <c r="AW21" s="4">
        <v>0</v>
      </c>
      <c r="AX21" s="4"/>
      <c r="AY21" s="4">
        <v>1</v>
      </c>
      <c r="AZ21" s="4"/>
      <c r="BA21" s="4"/>
      <c r="BB21" s="4"/>
      <c r="BC21" s="4"/>
      <c r="BD21" s="4">
        <v>1</v>
      </c>
      <c r="BE21" s="4"/>
      <c r="BF21" s="4"/>
      <c r="BG21" s="4"/>
      <c r="BH21" s="4"/>
      <c r="BI21" s="4"/>
      <c r="BJ21" s="4">
        <v>1</v>
      </c>
      <c r="BK21" s="4"/>
      <c r="BL21" s="4"/>
      <c r="BM21" s="4"/>
      <c r="BN21" s="4">
        <v>1</v>
      </c>
      <c r="BO21" s="4">
        <v>1</v>
      </c>
      <c r="BP21" s="4">
        <v>1</v>
      </c>
      <c r="BQ21" s="4">
        <v>1</v>
      </c>
      <c r="BR21" s="4"/>
      <c r="BS21" s="4"/>
      <c r="BT21" s="4">
        <v>0</v>
      </c>
      <c r="BU21" s="4"/>
      <c r="BV21" s="4"/>
      <c r="BW21" s="4"/>
      <c r="BX21" s="4"/>
      <c r="BY21" s="4"/>
      <c r="BZ21" s="4">
        <v>1</v>
      </c>
      <c r="CA21" s="4">
        <v>0</v>
      </c>
      <c r="CB21" s="4"/>
      <c r="CC21" s="4"/>
      <c r="CD21" s="4"/>
      <c r="CE21" s="4"/>
      <c r="CF21" s="4">
        <v>1</v>
      </c>
      <c r="CG21" s="4"/>
      <c r="CH21" s="4">
        <v>0</v>
      </c>
      <c r="CI21" s="4"/>
      <c r="CJ21" s="4"/>
      <c r="CK21" s="4"/>
    </row>
    <row r="22" spans="1:89" x14ac:dyDescent="0.25">
      <c r="A22" s="4" t="s">
        <v>241</v>
      </c>
      <c r="B22" s="4" t="s">
        <v>197</v>
      </c>
      <c r="C22" s="4" t="s">
        <v>226</v>
      </c>
      <c r="D22" s="4">
        <v>1957</v>
      </c>
      <c r="E22" s="4" t="s">
        <v>98</v>
      </c>
      <c r="F22" s="4" t="s">
        <v>99</v>
      </c>
      <c r="G22" s="4" t="s">
        <v>100</v>
      </c>
      <c r="H22" s="4">
        <v>1</v>
      </c>
      <c r="I22" s="4">
        <v>0</v>
      </c>
      <c r="J22" s="4">
        <v>64</v>
      </c>
      <c r="K22" s="4" t="s">
        <v>101</v>
      </c>
      <c r="L22" s="4" t="s">
        <v>242</v>
      </c>
      <c r="M22" s="4">
        <v>1975</v>
      </c>
      <c r="N22" s="4">
        <v>1975</v>
      </c>
      <c r="O22" s="4" t="s">
        <v>103</v>
      </c>
      <c r="P22" s="4">
        <v>8</v>
      </c>
      <c r="Q22" s="4" t="s">
        <v>150</v>
      </c>
      <c r="R22" s="4">
        <v>58000</v>
      </c>
      <c r="S22" s="4">
        <v>58000</v>
      </c>
      <c r="T22" s="4"/>
      <c r="U22" s="4"/>
      <c r="V22" s="4">
        <v>300000</v>
      </c>
      <c r="W22" s="4" t="s">
        <v>156</v>
      </c>
      <c r="X22" s="4" t="s">
        <v>243</v>
      </c>
      <c r="Y22" s="4">
        <v>3</v>
      </c>
      <c r="Z22" s="4"/>
      <c r="AA22" s="4" t="s">
        <v>244</v>
      </c>
      <c r="AB22" s="4"/>
      <c r="AC22" s="4">
        <v>41</v>
      </c>
      <c r="AD22" s="4"/>
      <c r="AE22" s="4" t="s">
        <v>125</v>
      </c>
      <c r="AF22" s="4">
        <v>0.1933333333333333</v>
      </c>
      <c r="AG22" s="4" t="b">
        <v>0</v>
      </c>
      <c r="AH22" s="4">
        <v>300000</v>
      </c>
      <c r="AI22" s="4" t="s">
        <v>110</v>
      </c>
      <c r="AJ22" s="4" t="s">
        <v>166</v>
      </c>
      <c r="AK22" s="4" t="s">
        <v>112</v>
      </c>
      <c r="AL22" s="4">
        <v>58000</v>
      </c>
      <c r="AM22" s="4" t="s">
        <v>113</v>
      </c>
      <c r="AN22" s="4" t="s">
        <v>171</v>
      </c>
      <c r="AO22" s="4" t="s">
        <v>115</v>
      </c>
      <c r="AP22" s="4"/>
      <c r="AQ22" s="4"/>
      <c r="AR22" s="4"/>
      <c r="AS22" s="4"/>
      <c r="AT22" s="4">
        <v>1</v>
      </c>
      <c r="AU22" s="4"/>
      <c r="AV22" s="4">
        <v>0.5</v>
      </c>
      <c r="AW22" s="4">
        <v>1</v>
      </c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>
        <v>1</v>
      </c>
      <c r="BP22" s="4">
        <v>1</v>
      </c>
      <c r="BQ22" s="4"/>
      <c r="BR22" s="4">
        <v>0</v>
      </c>
      <c r="BS22" s="4"/>
      <c r="BT22" s="4"/>
      <c r="BU22" s="4"/>
      <c r="BV22" s="4"/>
      <c r="BW22" s="4"/>
      <c r="BX22" s="4"/>
      <c r="BY22" s="4"/>
      <c r="BZ22" s="4"/>
      <c r="CA22" s="4">
        <v>1</v>
      </c>
      <c r="CB22" s="4"/>
      <c r="CC22" s="4"/>
      <c r="CD22" s="4"/>
      <c r="CE22" s="4"/>
      <c r="CF22" s="4"/>
      <c r="CG22" s="4"/>
      <c r="CH22" s="4"/>
      <c r="CI22" s="4"/>
      <c r="CJ22" s="4"/>
      <c r="CK22" s="4"/>
    </row>
    <row r="23" spans="1:89" x14ac:dyDescent="0.25">
      <c r="A23" s="4" t="s">
        <v>245</v>
      </c>
      <c r="B23" s="4" t="s">
        <v>197</v>
      </c>
      <c r="C23" s="4" t="s">
        <v>226</v>
      </c>
      <c r="D23" s="4">
        <v>2000</v>
      </c>
      <c r="E23" s="4" t="s">
        <v>148</v>
      </c>
      <c r="F23" s="4" t="s">
        <v>99</v>
      </c>
      <c r="G23" s="4" t="s">
        <v>100</v>
      </c>
      <c r="H23" s="4">
        <v>2</v>
      </c>
      <c r="I23" s="4">
        <v>0</v>
      </c>
      <c r="J23" s="4">
        <v>70</v>
      </c>
      <c r="K23" s="4" t="s">
        <v>101</v>
      </c>
      <c r="L23" s="4" t="s">
        <v>246</v>
      </c>
      <c r="M23" s="4">
        <v>2018</v>
      </c>
      <c r="N23" s="4">
        <v>2018</v>
      </c>
      <c r="O23" s="4" t="s">
        <v>247</v>
      </c>
      <c r="P23" s="4"/>
      <c r="Q23" s="4" t="s">
        <v>248</v>
      </c>
      <c r="R23" s="4">
        <v>45000</v>
      </c>
      <c r="S23" s="4">
        <v>45000</v>
      </c>
      <c r="T23" s="4"/>
      <c r="U23" s="4"/>
      <c r="V23" s="4">
        <v>600000</v>
      </c>
      <c r="W23" s="4" t="s">
        <v>105</v>
      </c>
      <c r="X23" s="4" t="s">
        <v>243</v>
      </c>
      <c r="Y23" s="4">
        <v>1</v>
      </c>
      <c r="Z23" s="4"/>
      <c r="AA23" s="4" t="s">
        <v>249</v>
      </c>
      <c r="AB23" s="4"/>
      <c r="AC23" s="4">
        <v>33</v>
      </c>
      <c r="AD23" s="4"/>
      <c r="AE23" s="4" t="s">
        <v>125</v>
      </c>
      <c r="AF23" s="4">
        <v>7.4999999999999997E-2</v>
      </c>
      <c r="AG23" s="4" t="b">
        <v>0</v>
      </c>
      <c r="AH23" s="4">
        <v>300000</v>
      </c>
      <c r="AI23" s="4" t="s">
        <v>110</v>
      </c>
      <c r="AJ23" s="4" t="s">
        <v>142</v>
      </c>
      <c r="AK23" s="4" t="s">
        <v>112</v>
      </c>
      <c r="AL23" s="4">
        <v>22500</v>
      </c>
      <c r="AM23" s="4" t="s">
        <v>126</v>
      </c>
      <c r="AN23" s="4" t="s">
        <v>127</v>
      </c>
      <c r="AO23" s="4" t="s">
        <v>115</v>
      </c>
      <c r="AP23" s="4">
        <v>0</v>
      </c>
      <c r="AQ23" s="4">
        <v>0</v>
      </c>
      <c r="AR23" s="4"/>
      <c r="AS23" s="4"/>
      <c r="AT23" s="4"/>
      <c r="AU23" s="4">
        <v>0</v>
      </c>
      <c r="AV23" s="4"/>
      <c r="AW23" s="4"/>
      <c r="AX23" s="4"/>
      <c r="AY23" s="4"/>
      <c r="AZ23" s="4"/>
      <c r="BA23" s="4"/>
      <c r="BB23" s="4"/>
      <c r="BC23" s="4"/>
      <c r="BD23" s="4"/>
      <c r="BE23" s="4">
        <v>1</v>
      </c>
      <c r="BF23" s="4"/>
      <c r="BG23" s="4"/>
      <c r="BH23" s="4"/>
      <c r="BI23" s="4"/>
      <c r="BJ23" s="4"/>
      <c r="BK23" s="4"/>
      <c r="BL23" s="4"/>
      <c r="BM23" s="4"/>
      <c r="BN23" s="4"/>
      <c r="BO23" s="4">
        <v>1</v>
      </c>
      <c r="BP23" s="4"/>
      <c r="BQ23" s="4">
        <v>1</v>
      </c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</row>
    <row r="24" spans="1:89" x14ac:dyDescent="0.25">
      <c r="A24" s="4" t="s">
        <v>250</v>
      </c>
      <c r="B24" s="4" t="s">
        <v>197</v>
      </c>
      <c r="C24" s="4" t="s">
        <v>226</v>
      </c>
      <c r="D24" s="4">
        <v>1988</v>
      </c>
      <c r="E24" s="4" t="s">
        <v>98</v>
      </c>
      <c r="F24" s="4" t="s">
        <v>198</v>
      </c>
      <c r="G24" s="4" t="s">
        <v>187</v>
      </c>
      <c r="H24" s="4">
        <v>3</v>
      </c>
      <c r="I24" s="4">
        <v>2</v>
      </c>
      <c r="J24" s="4">
        <v>24</v>
      </c>
      <c r="K24" s="4" t="s">
        <v>133</v>
      </c>
      <c r="L24" s="4" t="s">
        <v>251</v>
      </c>
      <c r="M24" s="4">
        <v>2025</v>
      </c>
      <c r="N24" s="4">
        <v>2025</v>
      </c>
      <c r="O24" s="4" t="s">
        <v>103</v>
      </c>
      <c r="P24" s="4">
        <v>7</v>
      </c>
      <c r="Q24" s="4" t="s">
        <v>104</v>
      </c>
      <c r="R24" s="4">
        <v>200000</v>
      </c>
      <c r="S24" s="4">
        <v>55000</v>
      </c>
      <c r="T24" s="4">
        <v>145000</v>
      </c>
      <c r="U24" s="4"/>
      <c r="V24" s="4">
        <v>500000</v>
      </c>
      <c r="W24" s="4" t="s">
        <v>105</v>
      </c>
      <c r="X24" s="4" t="s">
        <v>252</v>
      </c>
      <c r="Y24" s="4">
        <v>2</v>
      </c>
      <c r="Z24" s="4"/>
      <c r="AA24" s="4" t="s">
        <v>253</v>
      </c>
      <c r="AB24" s="4" t="s">
        <v>254</v>
      </c>
      <c r="AC24" s="4">
        <v>33</v>
      </c>
      <c r="AD24" s="4" t="s">
        <v>255</v>
      </c>
      <c r="AE24" s="4" t="s">
        <v>178</v>
      </c>
      <c r="AF24" s="4">
        <v>0.4</v>
      </c>
      <c r="AG24" s="4" t="b">
        <v>1</v>
      </c>
      <c r="AH24" s="4">
        <v>166666.66666666669</v>
      </c>
      <c r="AI24" s="4" t="s">
        <v>141</v>
      </c>
      <c r="AJ24" s="4" t="s">
        <v>159</v>
      </c>
      <c r="AK24" s="4" t="s">
        <v>143</v>
      </c>
      <c r="AL24" s="4">
        <v>66666.666666666672</v>
      </c>
      <c r="AM24" s="4" t="s">
        <v>144</v>
      </c>
      <c r="AN24" s="4" t="s">
        <v>145</v>
      </c>
      <c r="AO24" s="4" t="s">
        <v>167</v>
      </c>
      <c r="AP24" s="4">
        <v>0.5</v>
      </c>
      <c r="AQ24" s="4"/>
      <c r="AR24" s="4">
        <v>0.5</v>
      </c>
      <c r="AS24" s="4"/>
      <c r="AT24" s="4">
        <v>0</v>
      </c>
      <c r="AU24" s="4"/>
      <c r="AV24" s="4">
        <v>0</v>
      </c>
      <c r="AW24" s="4"/>
      <c r="AX24" s="4"/>
      <c r="AY24" s="4"/>
      <c r="AZ24" s="4"/>
      <c r="BA24" s="4"/>
      <c r="BB24" s="4"/>
      <c r="BC24" s="4"/>
      <c r="BD24" s="4">
        <v>0</v>
      </c>
      <c r="BE24" s="4"/>
      <c r="BF24" s="4">
        <v>1</v>
      </c>
      <c r="BG24" s="4"/>
      <c r="BH24" s="4"/>
      <c r="BI24" s="4">
        <v>0</v>
      </c>
      <c r="BJ24" s="4">
        <v>1</v>
      </c>
      <c r="BK24" s="4"/>
      <c r="BL24" s="4"/>
      <c r="BM24" s="4"/>
      <c r="BN24" s="4">
        <v>1</v>
      </c>
      <c r="BO24" s="4"/>
      <c r="BP24" s="4"/>
      <c r="BQ24" s="4"/>
      <c r="BR24" s="4">
        <v>0</v>
      </c>
      <c r="BS24" s="4"/>
      <c r="BT24" s="4"/>
      <c r="BU24" s="4"/>
      <c r="BV24" s="4"/>
      <c r="BW24" s="4"/>
      <c r="BX24" s="4"/>
      <c r="BY24" s="4"/>
      <c r="BZ24" s="4"/>
      <c r="CA24" s="4">
        <v>1</v>
      </c>
      <c r="CB24" s="4"/>
      <c r="CC24" s="4"/>
      <c r="CD24" s="4"/>
      <c r="CE24" s="4"/>
      <c r="CF24" s="4">
        <v>0</v>
      </c>
      <c r="CG24" s="4"/>
      <c r="CH24" s="4"/>
      <c r="CI24" s="4"/>
      <c r="CJ24" s="4"/>
      <c r="CK24" s="4"/>
    </row>
    <row r="25" spans="1:89" x14ac:dyDescent="0.25">
      <c r="A25" s="4" t="s">
        <v>256</v>
      </c>
      <c r="B25" s="4" t="s">
        <v>197</v>
      </c>
      <c r="C25" s="4" t="s">
        <v>257</v>
      </c>
      <c r="D25" s="4">
        <v>1998</v>
      </c>
      <c r="E25" s="4" t="s">
        <v>148</v>
      </c>
      <c r="F25" s="4" t="s">
        <v>99</v>
      </c>
      <c r="G25" s="4" t="s">
        <v>132</v>
      </c>
      <c r="H25" s="4">
        <v>2</v>
      </c>
      <c r="I25" s="4">
        <v>0</v>
      </c>
      <c r="J25" s="4">
        <v>46</v>
      </c>
      <c r="K25" s="4" t="s">
        <v>133</v>
      </c>
      <c r="L25" s="4" t="s">
        <v>258</v>
      </c>
      <c r="M25" s="4">
        <v>2019</v>
      </c>
      <c r="N25" s="4">
        <v>2025</v>
      </c>
      <c r="O25" s="4" t="s">
        <v>103</v>
      </c>
      <c r="P25" s="4">
        <v>11</v>
      </c>
      <c r="Q25" s="4" t="s">
        <v>120</v>
      </c>
      <c r="R25" s="4">
        <v>190000</v>
      </c>
      <c r="S25" s="4">
        <v>19000</v>
      </c>
      <c r="T25" s="4">
        <v>170000</v>
      </c>
      <c r="U25" s="4"/>
      <c r="V25" s="4">
        <v>450000</v>
      </c>
      <c r="W25" s="4" t="s">
        <v>259</v>
      </c>
      <c r="X25" s="4" t="s">
        <v>260</v>
      </c>
      <c r="Y25" s="4">
        <v>0</v>
      </c>
      <c r="Z25" s="4"/>
      <c r="AA25" s="4" t="s">
        <v>261</v>
      </c>
      <c r="AB25" s="4"/>
      <c r="AC25" s="4">
        <v>48</v>
      </c>
      <c r="AD25" s="4"/>
      <c r="AE25" s="4" t="s">
        <v>178</v>
      </c>
      <c r="AF25" s="4">
        <v>0.42222222222222222</v>
      </c>
      <c r="AG25" s="4" t="b">
        <v>1</v>
      </c>
      <c r="AH25" s="4">
        <v>225000</v>
      </c>
      <c r="AI25" s="4" t="s">
        <v>110</v>
      </c>
      <c r="AJ25" s="4" t="s">
        <v>142</v>
      </c>
      <c r="AK25" s="4" t="s">
        <v>143</v>
      </c>
      <c r="AL25" s="4">
        <v>95000</v>
      </c>
      <c r="AM25" s="4" t="s">
        <v>144</v>
      </c>
      <c r="AN25" s="4" t="s">
        <v>145</v>
      </c>
      <c r="AO25" s="4" t="s">
        <v>115</v>
      </c>
      <c r="AP25" s="4"/>
      <c r="AQ25" s="4"/>
      <c r="AR25" s="4">
        <v>1</v>
      </c>
      <c r="AS25" s="4"/>
      <c r="AT25" s="4"/>
      <c r="AU25" s="4"/>
      <c r="AV25" s="4">
        <v>1</v>
      </c>
      <c r="AW25" s="4">
        <v>1</v>
      </c>
      <c r="AX25" s="4"/>
      <c r="AY25" s="4"/>
      <c r="AZ25" s="4"/>
      <c r="BA25" s="4"/>
      <c r="BB25" s="4">
        <v>1</v>
      </c>
      <c r="BC25" s="4"/>
      <c r="BD25" s="4">
        <v>1</v>
      </c>
      <c r="BE25" s="4"/>
      <c r="BF25" s="4">
        <v>1</v>
      </c>
      <c r="BG25" s="4"/>
      <c r="BH25" s="4"/>
      <c r="BI25" s="4"/>
      <c r="BJ25" s="4">
        <v>1</v>
      </c>
      <c r="BK25" s="4">
        <v>1</v>
      </c>
      <c r="BL25" s="4"/>
      <c r="BM25" s="4"/>
      <c r="BN25" s="4">
        <v>0.5</v>
      </c>
      <c r="BO25" s="4">
        <v>1</v>
      </c>
      <c r="BP25" s="4">
        <v>1</v>
      </c>
      <c r="BQ25" s="4">
        <v>0.5</v>
      </c>
      <c r="BR25" s="4"/>
      <c r="BS25" s="4">
        <v>1</v>
      </c>
      <c r="BT25" s="4"/>
      <c r="BU25" s="4"/>
      <c r="BV25" s="4"/>
      <c r="BW25" s="4"/>
      <c r="BX25" s="4"/>
      <c r="BY25" s="4"/>
      <c r="BZ25" s="4"/>
      <c r="CA25" s="4"/>
      <c r="CB25" s="4">
        <v>1</v>
      </c>
      <c r="CC25" s="4"/>
      <c r="CD25" s="4"/>
      <c r="CE25" s="4"/>
      <c r="CF25" s="4"/>
      <c r="CG25" s="4"/>
      <c r="CH25" s="4">
        <v>1</v>
      </c>
      <c r="CI25" s="4"/>
      <c r="CJ25" s="4"/>
      <c r="CK25" s="4"/>
    </row>
    <row r="26" spans="1:89" x14ac:dyDescent="0.25">
      <c r="A26" s="4" t="s">
        <v>262</v>
      </c>
      <c r="B26" s="4" t="s">
        <v>197</v>
      </c>
      <c r="C26" s="4" t="s">
        <v>257</v>
      </c>
      <c r="D26" s="4">
        <v>1981</v>
      </c>
      <c r="E26" s="4" t="s">
        <v>98</v>
      </c>
      <c r="F26" s="4" t="s">
        <v>99</v>
      </c>
      <c r="G26" s="4" t="s">
        <v>100</v>
      </c>
      <c r="H26" s="4">
        <v>3</v>
      </c>
      <c r="I26" s="4">
        <v>1</v>
      </c>
      <c r="J26" s="4">
        <v>55</v>
      </c>
      <c r="K26" s="4" t="s">
        <v>133</v>
      </c>
      <c r="L26" s="4" t="s">
        <v>263</v>
      </c>
      <c r="M26" s="4">
        <v>2006</v>
      </c>
      <c r="N26" s="4">
        <v>2025</v>
      </c>
      <c r="O26" s="4" t="s">
        <v>103</v>
      </c>
      <c r="P26" s="4">
        <v>11</v>
      </c>
      <c r="Q26" s="4" t="s">
        <v>120</v>
      </c>
      <c r="R26" s="4">
        <v>173000</v>
      </c>
      <c r="S26" s="4">
        <v>73000</v>
      </c>
      <c r="T26" s="4"/>
      <c r="U26" s="4">
        <v>100000</v>
      </c>
      <c r="V26" s="4">
        <v>200000</v>
      </c>
      <c r="W26" s="4" t="s">
        <v>137</v>
      </c>
      <c r="X26" s="4" t="s">
        <v>264</v>
      </c>
      <c r="Y26" s="4">
        <v>0</v>
      </c>
      <c r="Z26" s="4"/>
      <c r="AA26" s="4" t="s">
        <v>265</v>
      </c>
      <c r="AB26" s="4" t="s">
        <v>266</v>
      </c>
      <c r="AC26" s="4">
        <v>50</v>
      </c>
      <c r="AD26" s="4"/>
      <c r="AE26" s="4" t="s">
        <v>140</v>
      </c>
      <c r="AF26" s="4">
        <v>0.86499999999999999</v>
      </c>
      <c r="AG26" s="4" t="b">
        <v>1</v>
      </c>
      <c r="AH26" s="4">
        <v>66666.666666666672</v>
      </c>
      <c r="AI26" s="4" t="s">
        <v>110</v>
      </c>
      <c r="AJ26" s="4" t="s">
        <v>159</v>
      </c>
      <c r="AK26" s="4" t="s">
        <v>112</v>
      </c>
      <c r="AL26" s="4">
        <v>57666.666666666657</v>
      </c>
      <c r="AM26" s="4" t="s">
        <v>126</v>
      </c>
      <c r="AN26" s="4" t="s">
        <v>145</v>
      </c>
      <c r="AO26" s="4" t="s">
        <v>167</v>
      </c>
      <c r="AP26" s="4"/>
      <c r="AQ26" s="4"/>
      <c r="AR26" s="4">
        <v>1</v>
      </c>
      <c r="AS26" s="4"/>
      <c r="AT26" s="4">
        <v>0.33333333333333331</v>
      </c>
      <c r="AU26" s="4"/>
      <c r="AV26" s="4">
        <v>0.5</v>
      </c>
      <c r="AW26" s="4"/>
      <c r="AX26" s="4"/>
      <c r="AY26" s="4">
        <v>1</v>
      </c>
      <c r="AZ26" s="4"/>
      <c r="BA26" s="4"/>
      <c r="BB26" s="4">
        <v>1</v>
      </c>
      <c r="BC26" s="4"/>
      <c r="BD26" s="4"/>
      <c r="BE26" s="4">
        <v>0</v>
      </c>
      <c r="BF26" s="4"/>
      <c r="BG26" s="4"/>
      <c r="BH26" s="4"/>
      <c r="BI26" s="4"/>
      <c r="BJ26" s="4"/>
      <c r="BK26" s="4"/>
      <c r="BL26" s="4"/>
      <c r="BM26" s="4"/>
      <c r="BN26" s="4">
        <v>1</v>
      </c>
      <c r="BO26" s="4">
        <v>0.5</v>
      </c>
      <c r="BP26" s="4"/>
      <c r="BQ26" s="4"/>
      <c r="BR26" s="4">
        <v>0.2</v>
      </c>
      <c r="BS26" s="4">
        <v>1</v>
      </c>
      <c r="BT26" s="4"/>
      <c r="BU26" s="4">
        <v>0.5</v>
      </c>
      <c r="BV26" s="4">
        <v>0</v>
      </c>
      <c r="BW26" s="4"/>
      <c r="BX26" s="4">
        <v>0</v>
      </c>
      <c r="BY26" s="4"/>
      <c r="BZ26" s="4"/>
      <c r="CA26" s="4"/>
      <c r="CB26" s="4">
        <v>1</v>
      </c>
      <c r="CC26" s="4"/>
      <c r="CD26" s="4"/>
      <c r="CE26" s="4"/>
      <c r="CF26" s="4"/>
      <c r="CG26" s="4"/>
      <c r="CH26" s="4">
        <v>1</v>
      </c>
      <c r="CI26" s="4"/>
      <c r="CJ26" s="4"/>
      <c r="CK26" s="4"/>
    </row>
    <row r="27" spans="1:89" x14ac:dyDescent="0.25">
      <c r="A27" s="4" t="s">
        <v>267</v>
      </c>
      <c r="B27" s="4" t="s">
        <v>197</v>
      </c>
      <c r="C27" s="4" t="s">
        <v>257</v>
      </c>
      <c r="D27" s="4">
        <v>2002</v>
      </c>
      <c r="E27" s="4" t="s">
        <v>148</v>
      </c>
      <c r="F27" s="4" t="s">
        <v>131</v>
      </c>
      <c r="G27" s="4" t="s">
        <v>100</v>
      </c>
      <c r="H27" s="4">
        <v>1</v>
      </c>
      <c r="I27" s="4">
        <v>0</v>
      </c>
      <c r="J27" s="4">
        <v>32</v>
      </c>
      <c r="K27" s="4" t="s">
        <v>133</v>
      </c>
      <c r="L27" s="4" t="s">
        <v>268</v>
      </c>
      <c r="M27" s="4">
        <v>2018</v>
      </c>
      <c r="N27" s="4">
        <v>2023</v>
      </c>
      <c r="O27" s="4" t="s">
        <v>103</v>
      </c>
      <c r="P27" s="4">
        <v>10</v>
      </c>
      <c r="Q27" s="4" t="s">
        <v>104</v>
      </c>
      <c r="R27" s="4">
        <v>70000</v>
      </c>
      <c r="S27" s="4">
        <v>70000</v>
      </c>
      <c r="T27" s="4"/>
      <c r="U27" s="4"/>
      <c r="V27" s="4">
        <v>600000</v>
      </c>
      <c r="W27" s="4" t="s">
        <v>105</v>
      </c>
      <c r="X27" s="4" t="s">
        <v>269</v>
      </c>
      <c r="Y27" s="4">
        <v>2</v>
      </c>
      <c r="Z27" s="4"/>
      <c r="AA27" s="4"/>
      <c r="AB27" s="4" t="s">
        <v>270</v>
      </c>
      <c r="AC27" s="4">
        <v>64</v>
      </c>
      <c r="AD27" s="4"/>
      <c r="AE27" s="4" t="s">
        <v>178</v>
      </c>
      <c r="AF27" s="4">
        <v>0.1166666666666667</v>
      </c>
      <c r="AG27" s="4" t="b">
        <v>0</v>
      </c>
      <c r="AH27" s="4">
        <v>600000</v>
      </c>
      <c r="AI27" s="4" t="s">
        <v>141</v>
      </c>
      <c r="AJ27" s="4" t="s">
        <v>142</v>
      </c>
      <c r="AK27" s="4" t="s">
        <v>112</v>
      </c>
      <c r="AL27" s="4">
        <v>70000</v>
      </c>
      <c r="AM27" s="4" t="s">
        <v>126</v>
      </c>
      <c r="AN27" s="4" t="s">
        <v>127</v>
      </c>
      <c r="AO27" s="4" t="s">
        <v>128</v>
      </c>
      <c r="AP27" s="4">
        <v>1</v>
      </c>
      <c r="AQ27" s="4"/>
      <c r="AR27" s="4"/>
      <c r="AS27" s="4"/>
      <c r="AT27" s="4">
        <v>0.2</v>
      </c>
      <c r="AU27" s="4"/>
      <c r="AV27" s="4">
        <v>0.22222222222222221</v>
      </c>
      <c r="AW27" s="4"/>
      <c r="AX27" s="4"/>
      <c r="AY27" s="4">
        <v>1</v>
      </c>
      <c r="AZ27" s="4"/>
      <c r="BA27" s="4"/>
      <c r="BB27" s="4">
        <v>1</v>
      </c>
      <c r="BC27" s="4"/>
      <c r="BD27" s="4"/>
      <c r="BE27" s="4"/>
      <c r="BF27" s="4"/>
      <c r="BG27" s="4"/>
      <c r="BH27" s="4"/>
      <c r="BI27" s="4"/>
      <c r="BJ27" s="4">
        <v>1</v>
      </c>
      <c r="BK27" s="4"/>
      <c r="BL27" s="4"/>
      <c r="BM27" s="4"/>
      <c r="BN27" s="4"/>
      <c r="BO27" s="4"/>
      <c r="BP27" s="4">
        <v>1</v>
      </c>
      <c r="BQ27" s="4"/>
      <c r="BR27" s="4">
        <v>0</v>
      </c>
      <c r="BS27" s="4">
        <v>1</v>
      </c>
      <c r="BT27" s="4"/>
      <c r="BU27" s="4"/>
      <c r="BV27" s="4">
        <v>0</v>
      </c>
      <c r="BW27" s="4">
        <v>0</v>
      </c>
      <c r="BX27" s="4"/>
      <c r="BY27" s="4"/>
      <c r="BZ27" s="4"/>
      <c r="CA27" s="4"/>
      <c r="CB27" s="4"/>
      <c r="CC27" s="4"/>
      <c r="CD27" s="4"/>
      <c r="CE27" s="4"/>
      <c r="CF27" s="4">
        <v>0</v>
      </c>
      <c r="CG27" s="4"/>
      <c r="CH27" s="4"/>
      <c r="CI27" s="4"/>
      <c r="CJ27" s="4"/>
      <c r="CK27" s="4"/>
    </row>
    <row r="28" spans="1:89" x14ac:dyDescent="0.25">
      <c r="A28" s="4" t="s">
        <v>271</v>
      </c>
      <c r="B28" s="4" t="s">
        <v>161</v>
      </c>
      <c r="C28" s="4" t="s">
        <v>130</v>
      </c>
      <c r="D28" s="4">
        <v>1989</v>
      </c>
      <c r="E28" s="4" t="s">
        <v>98</v>
      </c>
      <c r="F28" s="4" t="s">
        <v>131</v>
      </c>
      <c r="G28" s="4" t="s">
        <v>132</v>
      </c>
      <c r="H28" s="4">
        <v>2</v>
      </c>
      <c r="I28" s="4">
        <v>0</v>
      </c>
      <c r="J28" s="4">
        <v>110</v>
      </c>
      <c r="K28" s="4" t="s">
        <v>101</v>
      </c>
      <c r="L28" s="4" t="s">
        <v>272</v>
      </c>
      <c r="M28" s="4">
        <v>2016</v>
      </c>
      <c r="N28" s="4">
        <v>2016</v>
      </c>
      <c r="O28" s="4" t="s">
        <v>103</v>
      </c>
      <c r="P28" s="4">
        <v>6</v>
      </c>
      <c r="Q28" s="4" t="s">
        <v>104</v>
      </c>
      <c r="R28" s="4">
        <v>213000</v>
      </c>
      <c r="S28" s="4">
        <v>48000</v>
      </c>
      <c r="T28" s="4">
        <v>165000</v>
      </c>
      <c r="U28" s="4"/>
      <c r="V28" s="4">
        <v>580000</v>
      </c>
      <c r="W28" s="4" t="s">
        <v>259</v>
      </c>
      <c r="X28" s="4" t="s">
        <v>235</v>
      </c>
      <c r="Y28" s="4">
        <v>4</v>
      </c>
      <c r="Z28" s="4"/>
      <c r="AA28" s="4" t="s">
        <v>273</v>
      </c>
      <c r="AB28" s="4" t="s">
        <v>274</v>
      </c>
      <c r="AC28" s="4">
        <v>51</v>
      </c>
      <c r="AD28" s="4"/>
      <c r="AE28" s="4" t="s">
        <v>140</v>
      </c>
      <c r="AF28" s="4">
        <v>0.36724137931034478</v>
      </c>
      <c r="AG28" s="4" t="b">
        <v>1</v>
      </c>
      <c r="AH28" s="4">
        <v>290000</v>
      </c>
      <c r="AI28" s="4" t="s">
        <v>141</v>
      </c>
      <c r="AJ28" s="4" t="s">
        <v>159</v>
      </c>
      <c r="AK28" s="4" t="s">
        <v>143</v>
      </c>
      <c r="AL28" s="4">
        <v>106500</v>
      </c>
      <c r="AM28" s="4" t="s">
        <v>144</v>
      </c>
      <c r="AN28" s="4" t="s">
        <v>114</v>
      </c>
      <c r="AO28" s="4" t="s">
        <v>115</v>
      </c>
      <c r="AP28" s="4"/>
      <c r="AQ28" s="4"/>
      <c r="AR28" s="4">
        <v>1</v>
      </c>
      <c r="AS28" s="4">
        <v>1</v>
      </c>
      <c r="AT28" s="4">
        <v>0.66666666666666663</v>
      </c>
      <c r="AU28" s="4">
        <v>0.5</v>
      </c>
      <c r="AV28" s="4">
        <v>1</v>
      </c>
      <c r="AW28" s="4"/>
      <c r="AX28" s="4"/>
      <c r="AY28" s="4">
        <v>1</v>
      </c>
      <c r="AZ28" s="4"/>
      <c r="BA28" s="4"/>
      <c r="BB28" s="4">
        <v>1</v>
      </c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>
        <v>0.5</v>
      </c>
      <c r="BO28" s="4">
        <v>0.5</v>
      </c>
      <c r="BP28" s="4">
        <v>1</v>
      </c>
      <c r="BQ28" s="4">
        <v>0.5</v>
      </c>
      <c r="BR28" s="4">
        <v>0.5</v>
      </c>
      <c r="BS28" s="4">
        <v>1</v>
      </c>
      <c r="BT28" s="4"/>
      <c r="BU28" s="4"/>
      <c r="BV28" s="4"/>
      <c r="BW28" s="4"/>
      <c r="BX28" s="4"/>
      <c r="BY28" s="4"/>
      <c r="BZ28" s="4"/>
      <c r="CA28" s="4">
        <v>0</v>
      </c>
      <c r="CB28" s="4"/>
      <c r="CC28" s="4"/>
      <c r="CD28" s="4"/>
      <c r="CE28" s="4"/>
      <c r="CF28" s="4"/>
      <c r="CG28" s="4"/>
      <c r="CH28" s="4"/>
      <c r="CI28" s="4"/>
      <c r="CJ28" s="4"/>
      <c r="CK28" s="4"/>
    </row>
    <row r="29" spans="1:89" x14ac:dyDescent="0.25">
      <c r="A29" s="4" t="s">
        <v>275</v>
      </c>
      <c r="B29" s="4" t="s">
        <v>161</v>
      </c>
      <c r="C29" s="4" t="s">
        <v>180</v>
      </c>
      <c r="D29" s="4">
        <v>1958</v>
      </c>
      <c r="E29" s="4" t="s">
        <v>98</v>
      </c>
      <c r="F29" s="4" t="s">
        <v>198</v>
      </c>
      <c r="G29" s="4" t="s">
        <v>187</v>
      </c>
      <c r="H29" s="4">
        <v>2</v>
      </c>
      <c r="I29" s="4">
        <v>0</v>
      </c>
      <c r="J29" s="4">
        <v>40</v>
      </c>
      <c r="K29" s="4" t="s">
        <v>101</v>
      </c>
      <c r="L29" s="4" t="s">
        <v>276</v>
      </c>
      <c r="M29" s="4">
        <v>2024</v>
      </c>
      <c r="N29" s="4">
        <v>2024</v>
      </c>
      <c r="O29" s="4" t="s">
        <v>103</v>
      </c>
      <c r="P29" s="4">
        <v>6</v>
      </c>
      <c r="Q29" s="4" t="s">
        <v>104</v>
      </c>
      <c r="R29" s="4">
        <v>65000</v>
      </c>
      <c r="S29" s="4">
        <v>65000</v>
      </c>
      <c r="T29" s="4"/>
      <c r="U29" s="4"/>
      <c r="V29" s="4">
        <v>450000</v>
      </c>
      <c r="W29" s="4" t="s">
        <v>105</v>
      </c>
      <c r="X29" s="4" t="s">
        <v>252</v>
      </c>
      <c r="Y29" s="4">
        <v>0</v>
      </c>
      <c r="Z29" s="4"/>
      <c r="AA29" s="4" t="s">
        <v>277</v>
      </c>
      <c r="AB29" s="4" t="s">
        <v>278</v>
      </c>
      <c r="AC29" s="4">
        <v>33</v>
      </c>
      <c r="AD29" s="4"/>
      <c r="AE29" s="4" t="s">
        <v>178</v>
      </c>
      <c r="AF29" s="4">
        <v>0.1444444444444444</v>
      </c>
      <c r="AG29" s="4" t="b">
        <v>0</v>
      </c>
      <c r="AH29" s="4">
        <v>225000</v>
      </c>
      <c r="AI29" s="4" t="s">
        <v>141</v>
      </c>
      <c r="AJ29" s="4" t="s">
        <v>166</v>
      </c>
      <c r="AK29" s="4" t="s">
        <v>143</v>
      </c>
      <c r="AL29" s="4">
        <v>32500</v>
      </c>
      <c r="AM29" s="4" t="s">
        <v>113</v>
      </c>
      <c r="AN29" s="4" t="s">
        <v>145</v>
      </c>
      <c r="AO29" s="4" t="s">
        <v>115</v>
      </c>
      <c r="AP29" s="4"/>
      <c r="AQ29" s="4"/>
      <c r="AR29" s="4"/>
      <c r="AS29" s="4">
        <v>1</v>
      </c>
      <c r="AT29" s="4">
        <v>0</v>
      </c>
      <c r="AU29" s="4">
        <v>0</v>
      </c>
      <c r="AV29" s="4">
        <v>0</v>
      </c>
      <c r="AW29" s="4">
        <v>0.33333333333333331</v>
      </c>
      <c r="AX29" s="4">
        <v>0</v>
      </c>
      <c r="AY29" s="4"/>
      <c r="AZ29" s="4"/>
      <c r="BA29" s="4">
        <v>0</v>
      </c>
      <c r="BB29" s="4">
        <v>0</v>
      </c>
      <c r="BC29" s="4"/>
      <c r="BD29" s="4"/>
      <c r="BE29" s="4">
        <v>0.66666666666666663</v>
      </c>
      <c r="BF29" s="4"/>
      <c r="BG29" s="4"/>
      <c r="BH29" s="4">
        <v>0</v>
      </c>
      <c r="BI29" s="4">
        <v>0.5</v>
      </c>
      <c r="BJ29" s="4"/>
      <c r="BK29" s="4"/>
      <c r="BL29" s="4"/>
      <c r="BM29" s="4"/>
      <c r="BN29" s="4"/>
      <c r="BO29" s="4">
        <v>0.5</v>
      </c>
      <c r="BP29" s="4"/>
      <c r="BQ29" s="4"/>
      <c r="BR29" s="4">
        <v>0.33333333333333331</v>
      </c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>
        <v>0</v>
      </c>
      <c r="CD29" s="4"/>
      <c r="CE29" s="4">
        <v>0</v>
      </c>
      <c r="CF29" s="4">
        <v>0</v>
      </c>
      <c r="CG29" s="4">
        <v>0</v>
      </c>
      <c r="CH29" s="4"/>
      <c r="CI29" s="4">
        <v>0</v>
      </c>
      <c r="CJ29" s="4">
        <v>0</v>
      </c>
      <c r="CK29" s="4"/>
    </row>
    <row r="30" spans="1:89" x14ac:dyDescent="0.25">
      <c r="A30" s="4" t="s">
        <v>279</v>
      </c>
      <c r="B30" s="4" t="s">
        <v>161</v>
      </c>
      <c r="C30" s="4" t="s">
        <v>180</v>
      </c>
      <c r="D30" s="4">
        <v>1937</v>
      </c>
      <c r="E30" s="4" t="s">
        <v>98</v>
      </c>
      <c r="F30" s="4" t="s">
        <v>192</v>
      </c>
      <c r="G30" s="4" t="s">
        <v>100</v>
      </c>
      <c r="H30" s="4">
        <v>1</v>
      </c>
      <c r="I30" s="4">
        <v>0</v>
      </c>
      <c r="J30" s="4">
        <v>34</v>
      </c>
      <c r="K30" s="4" t="s">
        <v>133</v>
      </c>
      <c r="L30" s="4" t="s">
        <v>280</v>
      </c>
      <c r="M30" s="4">
        <v>1965</v>
      </c>
      <c r="N30" s="4">
        <v>1985</v>
      </c>
      <c r="O30" s="4" t="s">
        <v>103</v>
      </c>
      <c r="P30" s="4">
        <v>8</v>
      </c>
      <c r="Q30" s="4" t="s">
        <v>150</v>
      </c>
      <c r="R30" s="4">
        <v>42000</v>
      </c>
      <c r="S30" s="4">
        <v>42000</v>
      </c>
      <c r="T30" s="4"/>
      <c r="U30" s="4"/>
      <c r="V30" s="4">
        <v>250000</v>
      </c>
      <c r="W30" s="4" t="s">
        <v>137</v>
      </c>
      <c r="X30" s="4" t="s">
        <v>281</v>
      </c>
      <c r="Y30" s="4">
        <v>2</v>
      </c>
      <c r="Z30" s="4"/>
      <c r="AA30" s="4" t="s">
        <v>282</v>
      </c>
      <c r="AB30" s="4" t="s">
        <v>283</v>
      </c>
      <c r="AC30" s="4">
        <v>39</v>
      </c>
      <c r="AD30" s="4"/>
      <c r="AE30" s="4" t="s">
        <v>109</v>
      </c>
      <c r="AF30" s="4">
        <v>0.16800000000000001</v>
      </c>
      <c r="AG30" s="4" t="b">
        <v>0</v>
      </c>
      <c r="AH30" s="4">
        <v>250000</v>
      </c>
      <c r="AI30" s="4" t="s">
        <v>190</v>
      </c>
      <c r="AJ30" s="4" t="s">
        <v>166</v>
      </c>
      <c r="AK30" s="4" t="s">
        <v>112</v>
      </c>
      <c r="AL30" s="4">
        <v>42000</v>
      </c>
      <c r="AM30" s="4" t="s">
        <v>113</v>
      </c>
      <c r="AN30" s="4" t="s">
        <v>171</v>
      </c>
      <c r="AO30" s="4" t="s">
        <v>115</v>
      </c>
      <c r="AP30" s="4">
        <v>0</v>
      </c>
      <c r="AQ30" s="4"/>
      <c r="AR30" s="4"/>
      <c r="AS30" s="4"/>
      <c r="AT30" s="4">
        <v>0</v>
      </c>
      <c r="AU30" s="4"/>
      <c r="AV30" s="4">
        <v>0</v>
      </c>
      <c r="AW30" s="4"/>
      <c r="AX30" s="4"/>
      <c r="AY30" s="4"/>
      <c r="AZ30" s="4"/>
      <c r="BA30" s="4">
        <v>0</v>
      </c>
      <c r="BB30" s="4"/>
      <c r="BC30" s="4"/>
      <c r="BD30" s="4">
        <v>0</v>
      </c>
      <c r="BE30" s="4"/>
      <c r="BF30" s="4">
        <v>0</v>
      </c>
      <c r="BG30" s="4">
        <v>0</v>
      </c>
      <c r="BH30" s="4">
        <v>0</v>
      </c>
      <c r="BI30" s="4">
        <v>0</v>
      </c>
      <c r="BJ30" s="4">
        <v>1</v>
      </c>
      <c r="BK30" s="4"/>
      <c r="BL30" s="4"/>
      <c r="BM30" s="4"/>
      <c r="BN30" s="4">
        <v>0</v>
      </c>
      <c r="BO30" s="4"/>
      <c r="BP30" s="4"/>
      <c r="BQ30" s="4"/>
      <c r="BR30" s="4">
        <v>0</v>
      </c>
      <c r="BS30" s="4"/>
      <c r="BT30" s="4">
        <v>0</v>
      </c>
      <c r="BU30" s="4"/>
      <c r="BV30" s="4"/>
      <c r="BW30" s="4"/>
      <c r="BX30" s="4"/>
      <c r="BY30" s="4"/>
      <c r="BZ30" s="4">
        <v>0</v>
      </c>
      <c r="CA30" s="4"/>
      <c r="CB30" s="4"/>
      <c r="CC30" s="4"/>
      <c r="CD30" s="4"/>
      <c r="CE30" s="4"/>
      <c r="CF30" s="4">
        <v>0</v>
      </c>
      <c r="CG30" s="4">
        <v>0</v>
      </c>
      <c r="CH30" s="4"/>
      <c r="CI30" s="4"/>
      <c r="CJ30" s="4"/>
      <c r="CK30" s="4"/>
    </row>
    <row r="31" spans="1:89" x14ac:dyDescent="0.25">
      <c r="A31" s="4" t="s">
        <v>284</v>
      </c>
      <c r="B31" s="4" t="s">
        <v>161</v>
      </c>
      <c r="C31" s="4" t="s">
        <v>180</v>
      </c>
      <c r="D31" s="4">
        <v>1979</v>
      </c>
      <c r="E31" s="4" t="s">
        <v>98</v>
      </c>
      <c r="F31" s="4" t="s">
        <v>131</v>
      </c>
      <c r="G31" s="4" t="s">
        <v>100</v>
      </c>
      <c r="H31" s="4">
        <v>1</v>
      </c>
      <c r="I31" s="4">
        <v>0</v>
      </c>
      <c r="J31" s="4">
        <v>64</v>
      </c>
      <c r="K31" s="4" t="s">
        <v>101</v>
      </c>
      <c r="L31" s="4" t="s">
        <v>285</v>
      </c>
      <c r="M31" s="4">
        <v>1979</v>
      </c>
      <c r="N31" s="4">
        <v>1979</v>
      </c>
      <c r="O31" s="4"/>
      <c r="P31" s="4"/>
      <c r="Q31" s="4" t="s">
        <v>174</v>
      </c>
      <c r="R31" s="4">
        <v>55000</v>
      </c>
      <c r="S31" s="4">
        <v>55000</v>
      </c>
      <c r="T31" s="4"/>
      <c r="U31" s="4"/>
      <c r="V31" s="4"/>
      <c r="W31" s="4" t="s">
        <v>105</v>
      </c>
      <c r="X31" s="4" t="s">
        <v>286</v>
      </c>
      <c r="Y31" s="4">
        <v>2</v>
      </c>
      <c r="Z31" s="4"/>
      <c r="AA31" s="4" t="s">
        <v>287</v>
      </c>
      <c r="AB31" s="4"/>
      <c r="AC31" s="4">
        <v>25</v>
      </c>
      <c r="AD31" s="4"/>
      <c r="AE31" s="4" t="s">
        <v>125</v>
      </c>
      <c r="AF31" s="4"/>
      <c r="AG31" s="4"/>
      <c r="AH31" s="4"/>
      <c r="AI31" s="4" t="s">
        <v>141</v>
      </c>
      <c r="AJ31" s="4" t="s">
        <v>159</v>
      </c>
      <c r="AK31" s="4" t="s">
        <v>112</v>
      </c>
      <c r="AL31" s="4">
        <v>55000</v>
      </c>
      <c r="AM31" s="4" t="s">
        <v>126</v>
      </c>
      <c r="AN31" s="4" t="s">
        <v>171</v>
      </c>
      <c r="AO31" s="4"/>
      <c r="AP31" s="4">
        <v>0</v>
      </c>
      <c r="AQ31" s="4">
        <v>0</v>
      </c>
      <c r="AR31" s="4">
        <v>0.5</v>
      </c>
      <c r="AS31" s="4"/>
      <c r="AT31" s="4">
        <v>1</v>
      </c>
      <c r="AU31" s="4">
        <v>0.5</v>
      </c>
      <c r="AV31" s="4">
        <v>1</v>
      </c>
      <c r="AW31" s="4"/>
      <c r="AX31" s="4"/>
      <c r="AY31" s="4"/>
      <c r="AZ31" s="4"/>
      <c r="BA31" s="4"/>
      <c r="BB31" s="4">
        <v>1</v>
      </c>
      <c r="BC31" s="4">
        <v>0.5</v>
      </c>
      <c r="BD31" s="4">
        <v>0</v>
      </c>
      <c r="BE31" s="4"/>
      <c r="BF31" s="4"/>
      <c r="BG31" s="4"/>
      <c r="BH31" s="4"/>
      <c r="BI31" s="4">
        <v>1</v>
      </c>
      <c r="BJ31" s="4">
        <v>1</v>
      </c>
      <c r="BK31" s="4"/>
      <c r="BL31" s="4"/>
      <c r="BM31" s="4"/>
      <c r="BN31" s="4"/>
      <c r="BO31" s="4">
        <v>0</v>
      </c>
      <c r="BP31" s="4">
        <v>1</v>
      </c>
      <c r="BQ31" s="4">
        <v>1</v>
      </c>
      <c r="BR31" s="4">
        <v>0</v>
      </c>
      <c r="BS31" s="4"/>
      <c r="BT31" s="4"/>
      <c r="BU31" s="4"/>
      <c r="BV31" s="4"/>
      <c r="BW31" s="4"/>
      <c r="BX31" s="4"/>
      <c r="BY31" s="4"/>
      <c r="BZ31" s="4">
        <v>0</v>
      </c>
      <c r="CA31" s="4"/>
      <c r="CB31" s="4"/>
      <c r="CC31" s="4"/>
      <c r="CD31" s="4"/>
      <c r="CE31" s="4"/>
      <c r="CF31" s="4">
        <v>0</v>
      </c>
      <c r="CG31" s="4"/>
      <c r="CH31" s="4"/>
      <c r="CI31" s="4"/>
      <c r="CJ31" s="4"/>
      <c r="CK31" s="4"/>
    </row>
    <row r="32" spans="1:89" x14ac:dyDescent="0.25">
      <c r="A32" s="4" t="s">
        <v>288</v>
      </c>
      <c r="B32" s="4" t="s">
        <v>161</v>
      </c>
      <c r="C32" s="4" t="s">
        <v>180</v>
      </c>
      <c r="D32" s="4">
        <v>2004</v>
      </c>
      <c r="E32" s="4" t="s">
        <v>148</v>
      </c>
      <c r="F32" s="4" t="s">
        <v>131</v>
      </c>
      <c r="G32" s="4" t="s">
        <v>132</v>
      </c>
      <c r="H32" s="4">
        <v>2</v>
      </c>
      <c r="I32" s="4">
        <v>0</v>
      </c>
      <c r="J32" s="4">
        <v>53</v>
      </c>
      <c r="K32" s="4" t="s">
        <v>101</v>
      </c>
      <c r="L32" s="4" t="s">
        <v>222</v>
      </c>
      <c r="M32" s="4">
        <v>2023</v>
      </c>
      <c r="N32" s="4">
        <v>2023</v>
      </c>
      <c r="O32" s="4" t="s">
        <v>289</v>
      </c>
      <c r="P32" s="4"/>
      <c r="Q32" s="4" t="s">
        <v>136</v>
      </c>
      <c r="R32" s="4">
        <v>105000</v>
      </c>
      <c r="S32" s="4">
        <v>15000</v>
      </c>
      <c r="T32" s="4">
        <v>90000</v>
      </c>
      <c r="U32" s="4"/>
      <c r="V32" s="4">
        <v>500000</v>
      </c>
      <c r="W32" s="4" t="s">
        <v>137</v>
      </c>
      <c r="X32" s="4" t="s">
        <v>286</v>
      </c>
      <c r="Y32" s="4">
        <v>2</v>
      </c>
      <c r="Z32" s="4"/>
      <c r="AA32" s="4"/>
      <c r="AB32" s="4"/>
      <c r="AC32" s="4">
        <v>28</v>
      </c>
      <c r="AD32" s="4"/>
      <c r="AE32" s="4" t="s">
        <v>125</v>
      </c>
      <c r="AF32" s="4">
        <v>0.21</v>
      </c>
      <c r="AG32" s="4" t="b">
        <v>0</v>
      </c>
      <c r="AH32" s="4">
        <v>250000</v>
      </c>
      <c r="AI32" s="4" t="s">
        <v>141</v>
      </c>
      <c r="AJ32" s="4" t="s">
        <v>142</v>
      </c>
      <c r="AK32" s="4" t="s">
        <v>143</v>
      </c>
      <c r="AL32" s="4">
        <v>52500</v>
      </c>
      <c r="AM32" s="4" t="s">
        <v>144</v>
      </c>
      <c r="AN32" s="4" t="s">
        <v>127</v>
      </c>
      <c r="AO32" s="4" t="s">
        <v>115</v>
      </c>
      <c r="AP32" s="4">
        <v>0</v>
      </c>
      <c r="AQ32" s="4"/>
      <c r="AR32" s="4">
        <v>1</v>
      </c>
      <c r="AS32" s="4">
        <v>1</v>
      </c>
      <c r="AT32" s="4">
        <v>0.5</v>
      </c>
      <c r="AU32" s="4">
        <v>1</v>
      </c>
      <c r="AV32" s="4">
        <v>1</v>
      </c>
      <c r="AW32" s="4"/>
      <c r="AX32" s="4"/>
      <c r="AY32" s="4">
        <v>0.66666666666666663</v>
      </c>
      <c r="AZ32" s="4"/>
      <c r="BA32" s="4"/>
      <c r="BB32" s="4">
        <v>1</v>
      </c>
      <c r="BC32" s="4">
        <v>1</v>
      </c>
      <c r="BD32" s="4"/>
      <c r="BE32" s="4">
        <v>0</v>
      </c>
      <c r="BF32" s="4">
        <v>0</v>
      </c>
      <c r="BG32" s="4"/>
      <c r="BH32" s="4"/>
      <c r="BI32" s="4"/>
      <c r="BJ32" s="4">
        <v>1</v>
      </c>
      <c r="BK32" s="4"/>
      <c r="BL32" s="4"/>
      <c r="BM32" s="4"/>
      <c r="BN32" s="4">
        <v>1</v>
      </c>
      <c r="BO32" s="4">
        <v>1</v>
      </c>
      <c r="BP32" s="4">
        <v>1</v>
      </c>
      <c r="BQ32" s="4"/>
      <c r="BR32" s="4">
        <v>1</v>
      </c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</row>
    <row r="33" spans="1:89" x14ac:dyDescent="0.25">
      <c r="A33" s="4" t="s">
        <v>290</v>
      </c>
      <c r="B33" s="4" t="s">
        <v>161</v>
      </c>
      <c r="C33" s="4" t="s">
        <v>180</v>
      </c>
      <c r="D33" s="4">
        <v>1999</v>
      </c>
      <c r="E33" s="4" t="s">
        <v>98</v>
      </c>
      <c r="F33" s="4" t="s">
        <v>192</v>
      </c>
      <c r="G33" s="4" t="s">
        <v>132</v>
      </c>
      <c r="H33" s="4">
        <v>2</v>
      </c>
      <c r="I33" s="4">
        <v>0</v>
      </c>
      <c r="J33" s="4">
        <v>35</v>
      </c>
      <c r="K33" s="4" t="s">
        <v>133</v>
      </c>
      <c r="L33" s="4" t="s">
        <v>193</v>
      </c>
      <c r="M33" s="4">
        <v>2023</v>
      </c>
      <c r="N33" s="4">
        <v>2023</v>
      </c>
      <c r="O33" s="4" t="s">
        <v>103</v>
      </c>
      <c r="P33" s="4">
        <v>6</v>
      </c>
      <c r="Q33" s="4" t="s">
        <v>104</v>
      </c>
      <c r="R33" s="4">
        <v>300000</v>
      </c>
      <c r="S33" s="4">
        <v>30000</v>
      </c>
      <c r="T33" s="4">
        <v>220000</v>
      </c>
      <c r="U33" s="4"/>
      <c r="V33" s="4">
        <v>400000</v>
      </c>
      <c r="W33" s="4" t="s">
        <v>156</v>
      </c>
      <c r="X33" s="4" t="s">
        <v>286</v>
      </c>
      <c r="Y33" s="4">
        <v>3</v>
      </c>
      <c r="Z33" s="4"/>
      <c r="AA33" s="4" t="s">
        <v>291</v>
      </c>
      <c r="AB33" s="4"/>
      <c r="AC33" s="4">
        <v>18</v>
      </c>
      <c r="AD33" s="4"/>
      <c r="AE33" s="4" t="s">
        <v>125</v>
      </c>
      <c r="AF33" s="4">
        <v>0.75</v>
      </c>
      <c r="AG33" s="4" t="b">
        <v>1</v>
      </c>
      <c r="AH33" s="4">
        <v>200000</v>
      </c>
      <c r="AI33" s="4" t="s">
        <v>190</v>
      </c>
      <c r="AJ33" s="4" t="s">
        <v>142</v>
      </c>
      <c r="AK33" s="4" t="s">
        <v>143</v>
      </c>
      <c r="AL33" s="4">
        <v>150000</v>
      </c>
      <c r="AM33" s="4" t="s">
        <v>144</v>
      </c>
      <c r="AN33" s="4" t="s">
        <v>127</v>
      </c>
      <c r="AO33" s="4" t="s">
        <v>167</v>
      </c>
      <c r="AP33" s="4">
        <v>0</v>
      </c>
      <c r="AQ33" s="4">
        <v>0</v>
      </c>
      <c r="AR33" s="4">
        <v>1</v>
      </c>
      <c r="AS33" s="4">
        <v>1</v>
      </c>
      <c r="AT33" s="4">
        <v>0</v>
      </c>
      <c r="AU33" s="4"/>
      <c r="AV33" s="4"/>
      <c r="AW33" s="4"/>
      <c r="AX33" s="4"/>
      <c r="AY33" s="4">
        <v>1</v>
      </c>
      <c r="AZ33" s="4"/>
      <c r="BA33" s="4"/>
      <c r="BB33" s="4">
        <v>1</v>
      </c>
      <c r="BC33" s="4"/>
      <c r="BD33" s="4"/>
      <c r="BE33" s="4"/>
      <c r="BF33" s="4"/>
      <c r="BG33" s="4"/>
      <c r="BH33" s="4">
        <v>0</v>
      </c>
      <c r="BI33" s="4">
        <v>0</v>
      </c>
      <c r="BJ33" s="4"/>
      <c r="BK33" s="4"/>
      <c r="BL33" s="4"/>
      <c r="BM33" s="4"/>
      <c r="BN33" s="4"/>
      <c r="BO33" s="4"/>
      <c r="BP33" s="4"/>
      <c r="BQ33" s="4"/>
      <c r="BR33" s="4">
        <v>0</v>
      </c>
      <c r="BS33" s="4"/>
      <c r="BT33" s="4">
        <v>1</v>
      </c>
      <c r="BU33" s="4"/>
      <c r="BV33" s="4"/>
      <c r="BW33" s="4"/>
      <c r="BX33" s="4"/>
      <c r="BY33" s="4"/>
      <c r="BZ33" s="4"/>
      <c r="CA33" s="4">
        <v>1</v>
      </c>
      <c r="CB33" s="4"/>
      <c r="CC33" s="4"/>
      <c r="CD33" s="4"/>
      <c r="CE33" s="4"/>
      <c r="CF33" s="4">
        <v>1</v>
      </c>
      <c r="CG33" s="4"/>
      <c r="CH33" s="4"/>
      <c r="CI33" s="4"/>
      <c r="CJ33" s="4"/>
      <c r="CK33" s="4"/>
    </row>
    <row r="34" spans="1:89" x14ac:dyDescent="0.25">
      <c r="A34" s="4" t="s">
        <v>292</v>
      </c>
      <c r="B34" s="4" t="s">
        <v>293</v>
      </c>
      <c r="C34" s="4" t="s">
        <v>118</v>
      </c>
      <c r="D34" s="4">
        <v>1960</v>
      </c>
      <c r="E34" s="4" t="s">
        <v>98</v>
      </c>
      <c r="F34" s="4" t="s">
        <v>198</v>
      </c>
      <c r="G34" s="4" t="s">
        <v>294</v>
      </c>
      <c r="H34" s="4">
        <v>3</v>
      </c>
      <c r="I34" s="4">
        <v>1</v>
      </c>
      <c r="J34" s="4">
        <v>40</v>
      </c>
      <c r="K34" s="4" t="s">
        <v>101</v>
      </c>
      <c r="L34" s="4" t="s">
        <v>295</v>
      </c>
      <c r="M34" s="4">
        <v>1999</v>
      </c>
      <c r="N34" s="4">
        <v>2021</v>
      </c>
      <c r="O34" s="4" t="s">
        <v>103</v>
      </c>
      <c r="P34" s="4">
        <v>14</v>
      </c>
      <c r="Q34" s="4" t="s">
        <v>104</v>
      </c>
      <c r="R34" s="4">
        <v>106000</v>
      </c>
      <c r="S34" s="4">
        <v>85000</v>
      </c>
      <c r="T34" s="4">
        <v>21000</v>
      </c>
      <c r="U34" s="4"/>
      <c r="V34" s="4">
        <v>330000</v>
      </c>
      <c r="W34" s="4" t="s">
        <v>137</v>
      </c>
      <c r="X34" s="4" t="s">
        <v>252</v>
      </c>
      <c r="Y34" s="4">
        <v>2</v>
      </c>
      <c r="Z34" s="4"/>
      <c r="AA34" s="4" t="s">
        <v>296</v>
      </c>
      <c r="AB34" s="4"/>
      <c r="AC34" s="4">
        <v>25</v>
      </c>
      <c r="AD34" s="4"/>
      <c r="AE34" s="4" t="s">
        <v>178</v>
      </c>
      <c r="AF34" s="4">
        <v>0.32121212121212123</v>
      </c>
      <c r="AG34" s="4" t="b">
        <v>1</v>
      </c>
      <c r="AH34" s="4">
        <v>110000</v>
      </c>
      <c r="AI34" s="4" t="s">
        <v>141</v>
      </c>
      <c r="AJ34" s="4" t="s">
        <v>111</v>
      </c>
      <c r="AK34" s="4" t="s">
        <v>143</v>
      </c>
      <c r="AL34" s="4">
        <v>35333.333333333343</v>
      </c>
      <c r="AM34" s="4" t="s">
        <v>113</v>
      </c>
      <c r="AN34" s="4" t="s">
        <v>127</v>
      </c>
      <c r="AO34" s="4" t="s">
        <v>167</v>
      </c>
      <c r="AP34" s="4"/>
      <c r="AQ34" s="4"/>
      <c r="AR34" s="4"/>
      <c r="AS34" s="4">
        <v>1</v>
      </c>
      <c r="AT34" s="4">
        <v>0</v>
      </c>
      <c r="AU34" s="4"/>
      <c r="AV34" s="4">
        <v>0</v>
      </c>
      <c r="AW34" s="4"/>
      <c r="AX34" s="4">
        <v>1</v>
      </c>
      <c r="AY34" s="4"/>
      <c r="AZ34" s="4"/>
      <c r="BA34" s="4">
        <v>0</v>
      </c>
      <c r="BB34" s="4">
        <v>1</v>
      </c>
      <c r="BC34" s="4"/>
      <c r="BD34" s="4">
        <v>1</v>
      </c>
      <c r="BE34" s="4"/>
      <c r="BF34" s="4"/>
      <c r="BG34" s="4"/>
      <c r="BH34" s="4">
        <v>0</v>
      </c>
      <c r="BI34" s="4"/>
      <c r="BJ34" s="4"/>
      <c r="BK34" s="4"/>
      <c r="BL34" s="4"/>
      <c r="BM34" s="4">
        <v>1</v>
      </c>
      <c r="BN34" s="4"/>
      <c r="BO34" s="4">
        <v>1</v>
      </c>
      <c r="BP34" s="4"/>
      <c r="BQ34" s="4"/>
      <c r="BR34" s="4">
        <v>0.25</v>
      </c>
      <c r="BS34" s="4">
        <v>1</v>
      </c>
      <c r="BT34" s="4"/>
      <c r="BU34" s="4"/>
      <c r="BV34" s="4"/>
      <c r="BW34" s="4"/>
      <c r="BX34" s="4"/>
      <c r="BY34" s="4">
        <v>0</v>
      </c>
      <c r="BZ34" s="4"/>
      <c r="CA34" s="4">
        <v>1</v>
      </c>
      <c r="CB34" s="4"/>
      <c r="CC34" s="4"/>
      <c r="CD34" s="4"/>
      <c r="CE34" s="4"/>
      <c r="CF34" s="4"/>
      <c r="CG34" s="4"/>
      <c r="CH34" s="4"/>
      <c r="CI34" s="4"/>
      <c r="CJ34" s="4"/>
      <c r="CK34" s="4"/>
    </row>
    <row r="35" spans="1:89" x14ac:dyDescent="0.25">
      <c r="A35" s="4" t="s">
        <v>297</v>
      </c>
      <c r="B35" s="4" t="s">
        <v>293</v>
      </c>
      <c r="C35" s="4" t="s">
        <v>118</v>
      </c>
      <c r="D35" s="4">
        <v>2000</v>
      </c>
      <c r="E35" s="4" t="s">
        <v>148</v>
      </c>
      <c r="F35" s="4" t="s">
        <v>99</v>
      </c>
      <c r="G35" s="4" t="s">
        <v>100</v>
      </c>
      <c r="H35" s="4">
        <v>3</v>
      </c>
      <c r="I35" s="4">
        <v>0</v>
      </c>
      <c r="J35" s="4">
        <v>51</v>
      </c>
      <c r="K35" s="4" t="s">
        <v>133</v>
      </c>
      <c r="L35" s="4" t="s">
        <v>298</v>
      </c>
      <c r="M35" s="4">
        <v>2022</v>
      </c>
      <c r="N35" s="4">
        <v>2022</v>
      </c>
      <c r="O35" s="4" t="s">
        <v>103</v>
      </c>
      <c r="P35" s="4">
        <v>3</v>
      </c>
      <c r="Q35" s="4" t="s">
        <v>120</v>
      </c>
      <c r="R35" s="4">
        <v>325000</v>
      </c>
      <c r="S35" s="4">
        <v>25000</v>
      </c>
      <c r="T35" s="4"/>
      <c r="U35" s="4">
        <v>300000</v>
      </c>
      <c r="V35" s="4"/>
      <c r="W35" s="4" t="s">
        <v>137</v>
      </c>
      <c r="X35" s="4" t="s">
        <v>151</v>
      </c>
      <c r="Y35" s="4">
        <v>0</v>
      </c>
      <c r="Z35" s="4"/>
      <c r="AA35" s="4"/>
      <c r="AB35" s="4"/>
      <c r="AC35" s="4">
        <v>28</v>
      </c>
      <c r="AD35" s="4"/>
      <c r="AE35" s="4" t="s">
        <v>140</v>
      </c>
      <c r="AF35" s="4"/>
      <c r="AG35" s="4"/>
      <c r="AH35" s="4"/>
      <c r="AI35" s="4" t="s">
        <v>110</v>
      </c>
      <c r="AJ35" s="4" t="s">
        <v>142</v>
      </c>
      <c r="AK35" s="4" t="s">
        <v>112</v>
      </c>
      <c r="AL35" s="4">
        <v>108333.3333333333</v>
      </c>
      <c r="AM35" s="4" t="s">
        <v>126</v>
      </c>
      <c r="AN35" s="4" t="s">
        <v>127</v>
      </c>
      <c r="AO35" s="4"/>
      <c r="AP35" s="4">
        <v>0</v>
      </c>
      <c r="AQ35" s="4">
        <v>1</v>
      </c>
      <c r="AR35" s="4">
        <v>0</v>
      </c>
      <c r="AS35" s="4">
        <v>1</v>
      </c>
      <c r="AT35" s="4">
        <v>1</v>
      </c>
      <c r="AU35" s="4"/>
      <c r="AV35" s="4"/>
      <c r="AW35" s="4"/>
      <c r="AX35" s="4"/>
      <c r="AY35" s="4"/>
      <c r="AZ35" s="4"/>
      <c r="BA35" s="4"/>
      <c r="BB35" s="4">
        <v>1</v>
      </c>
      <c r="BC35" s="4"/>
      <c r="BD35" s="4">
        <v>0.66666666666666663</v>
      </c>
      <c r="BE35" s="4"/>
      <c r="BF35" s="4"/>
      <c r="BG35" s="4"/>
      <c r="BH35" s="4"/>
      <c r="BI35" s="4"/>
      <c r="BJ35" s="4">
        <v>1</v>
      </c>
      <c r="BK35" s="4"/>
      <c r="BL35" s="4"/>
      <c r="BM35" s="4"/>
      <c r="BN35" s="4">
        <v>1</v>
      </c>
      <c r="BO35" s="4"/>
      <c r="BP35" s="4"/>
      <c r="BQ35" s="4"/>
      <c r="BR35" s="4">
        <v>0.5</v>
      </c>
      <c r="BS35" s="4"/>
      <c r="BT35" s="4"/>
      <c r="BU35" s="4"/>
      <c r="BV35" s="4"/>
      <c r="BW35" s="4"/>
      <c r="BX35" s="4"/>
      <c r="BY35" s="4">
        <v>1</v>
      </c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</row>
    <row r="36" spans="1:89" x14ac:dyDescent="0.25">
      <c r="A36" s="4" t="s">
        <v>299</v>
      </c>
      <c r="B36" s="4" t="s">
        <v>226</v>
      </c>
      <c r="C36" s="4" t="s">
        <v>97</v>
      </c>
      <c r="D36" s="4">
        <v>1991</v>
      </c>
      <c r="E36" s="4" t="s">
        <v>148</v>
      </c>
      <c r="F36" s="4" t="s">
        <v>131</v>
      </c>
      <c r="G36" s="4" t="s">
        <v>100</v>
      </c>
      <c r="H36" s="4">
        <v>1</v>
      </c>
      <c r="I36" s="4">
        <v>0</v>
      </c>
      <c r="J36" s="4">
        <v>57</v>
      </c>
      <c r="K36" s="4" t="s">
        <v>101</v>
      </c>
      <c r="L36" s="4" t="s">
        <v>300</v>
      </c>
      <c r="M36" s="4">
        <v>2023</v>
      </c>
      <c r="N36" s="4">
        <v>2023</v>
      </c>
      <c r="O36" s="4" t="s">
        <v>103</v>
      </c>
      <c r="P36" s="4">
        <v>7</v>
      </c>
      <c r="Q36" s="4" t="s">
        <v>104</v>
      </c>
      <c r="R36" s="4">
        <v>40000</v>
      </c>
      <c r="S36" s="4">
        <v>40000</v>
      </c>
      <c r="T36" s="4"/>
      <c r="U36" s="4"/>
      <c r="V36" s="4"/>
      <c r="W36" s="4" t="s">
        <v>137</v>
      </c>
      <c r="X36" s="4" t="s">
        <v>264</v>
      </c>
      <c r="Y36" s="4">
        <v>3</v>
      </c>
      <c r="Z36" s="4"/>
      <c r="AA36" s="4" t="s">
        <v>301</v>
      </c>
      <c r="AB36" s="4" t="s">
        <v>302</v>
      </c>
      <c r="AC36" s="4">
        <v>33</v>
      </c>
      <c r="AD36" s="4"/>
      <c r="AE36" s="4" t="s">
        <v>140</v>
      </c>
      <c r="AF36" s="4"/>
      <c r="AG36" s="4"/>
      <c r="AH36" s="4"/>
      <c r="AI36" s="4" t="s">
        <v>141</v>
      </c>
      <c r="AJ36" s="4" t="s">
        <v>159</v>
      </c>
      <c r="AK36" s="4" t="s">
        <v>112</v>
      </c>
      <c r="AL36" s="4">
        <v>40000</v>
      </c>
      <c r="AM36" s="4" t="s">
        <v>126</v>
      </c>
      <c r="AN36" s="4" t="s">
        <v>127</v>
      </c>
      <c r="AO36" s="4"/>
      <c r="AP36" s="4"/>
      <c r="AQ36" s="4">
        <v>1</v>
      </c>
      <c r="AR36" s="4">
        <v>0</v>
      </c>
      <c r="AS36" s="4"/>
      <c r="AT36" s="4"/>
      <c r="AU36" s="4">
        <v>0.5</v>
      </c>
      <c r="AV36" s="4">
        <v>0</v>
      </c>
      <c r="AW36" s="4"/>
      <c r="AX36" s="4"/>
      <c r="AY36" s="4">
        <v>0.33333333333333331</v>
      </c>
      <c r="AZ36" s="4"/>
      <c r="BA36" s="4"/>
      <c r="BB36" s="4">
        <v>1</v>
      </c>
      <c r="BC36" s="4"/>
      <c r="BD36" s="4"/>
      <c r="BE36" s="4"/>
      <c r="BF36" s="4"/>
      <c r="BG36" s="4"/>
      <c r="BH36" s="4">
        <v>1</v>
      </c>
      <c r="BI36" s="4"/>
      <c r="BJ36" s="4"/>
      <c r="BK36" s="4"/>
      <c r="BL36" s="4"/>
      <c r="BM36" s="4"/>
      <c r="BN36" s="4"/>
      <c r="BO36" s="4">
        <v>1</v>
      </c>
      <c r="BP36" s="4"/>
      <c r="BQ36" s="4">
        <v>1</v>
      </c>
      <c r="BR36" s="4"/>
      <c r="BS36" s="4"/>
      <c r="BT36" s="4"/>
      <c r="BU36" s="4"/>
      <c r="BV36" s="4"/>
      <c r="BW36" s="4"/>
      <c r="BX36" s="4"/>
      <c r="BY36" s="4"/>
      <c r="BZ36" s="4">
        <v>1</v>
      </c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</row>
    <row r="37" spans="1:89" x14ac:dyDescent="0.25">
      <c r="A37" s="4" t="s">
        <v>303</v>
      </c>
      <c r="B37" s="4" t="s">
        <v>304</v>
      </c>
      <c r="C37" s="4" t="s">
        <v>162</v>
      </c>
      <c r="D37" s="4">
        <v>1992</v>
      </c>
      <c r="E37" s="4" t="s">
        <v>98</v>
      </c>
      <c r="F37" s="4" t="s">
        <v>131</v>
      </c>
      <c r="G37" s="4" t="s">
        <v>132</v>
      </c>
      <c r="H37" s="4">
        <v>2</v>
      </c>
      <c r="I37" s="4">
        <v>0</v>
      </c>
      <c r="J37" s="4">
        <v>68</v>
      </c>
      <c r="K37" s="4" t="s">
        <v>101</v>
      </c>
      <c r="L37" s="4" t="s">
        <v>305</v>
      </c>
      <c r="M37" s="4">
        <v>2019</v>
      </c>
      <c r="N37" s="4">
        <v>2021</v>
      </c>
      <c r="O37" s="4" t="s">
        <v>103</v>
      </c>
      <c r="P37" s="4">
        <v>8</v>
      </c>
      <c r="Q37" s="4" t="s">
        <v>150</v>
      </c>
      <c r="R37" s="4">
        <v>210000</v>
      </c>
      <c r="S37" s="4">
        <v>40000</v>
      </c>
      <c r="T37" s="4">
        <v>168000</v>
      </c>
      <c r="U37" s="4"/>
      <c r="V37" s="4">
        <v>730000</v>
      </c>
      <c r="W37" s="4" t="s">
        <v>137</v>
      </c>
      <c r="X37" s="4" t="s">
        <v>106</v>
      </c>
      <c r="Y37" s="4">
        <v>1</v>
      </c>
      <c r="Z37" s="4"/>
      <c r="AA37" s="4" t="s">
        <v>306</v>
      </c>
      <c r="AB37" s="4" t="s">
        <v>307</v>
      </c>
      <c r="AC37" s="4"/>
      <c r="AD37" s="4"/>
      <c r="AE37" s="4" t="s">
        <v>109</v>
      </c>
      <c r="AF37" s="4">
        <v>0.28767123287671231</v>
      </c>
      <c r="AG37" s="4" t="b">
        <v>0</v>
      </c>
      <c r="AH37" s="4">
        <v>365000</v>
      </c>
      <c r="AI37" s="4" t="s">
        <v>141</v>
      </c>
      <c r="AJ37" s="4" t="s">
        <v>159</v>
      </c>
      <c r="AK37" s="4" t="s">
        <v>143</v>
      </c>
      <c r="AL37" s="4">
        <v>105000</v>
      </c>
      <c r="AM37" s="4" t="s">
        <v>144</v>
      </c>
      <c r="AN37" s="4" t="s">
        <v>127</v>
      </c>
      <c r="AO37" s="4" t="s">
        <v>128</v>
      </c>
      <c r="AP37" s="4"/>
      <c r="AQ37" s="4">
        <v>1</v>
      </c>
      <c r="AR37" s="4"/>
      <c r="AS37" s="4">
        <v>1</v>
      </c>
      <c r="AT37" s="4">
        <v>1</v>
      </c>
      <c r="AU37" s="4"/>
      <c r="AV37" s="4">
        <v>0.66666666666666663</v>
      </c>
      <c r="AW37" s="4"/>
      <c r="AX37" s="4">
        <v>1</v>
      </c>
      <c r="AY37" s="4"/>
      <c r="AZ37" s="4"/>
      <c r="BA37" s="4"/>
      <c r="BB37" s="4">
        <v>1</v>
      </c>
      <c r="BC37" s="4">
        <v>1</v>
      </c>
      <c r="BD37" s="4">
        <v>1</v>
      </c>
      <c r="BE37" s="4"/>
      <c r="BF37" s="4"/>
      <c r="BG37" s="4"/>
      <c r="BH37" s="4">
        <v>1</v>
      </c>
      <c r="BI37" s="4">
        <v>1</v>
      </c>
      <c r="BJ37" s="4"/>
      <c r="BK37" s="4"/>
      <c r="BL37" s="4"/>
      <c r="BM37" s="4"/>
      <c r="BN37" s="4">
        <v>0.5</v>
      </c>
      <c r="BO37" s="4"/>
      <c r="BP37" s="4"/>
      <c r="BQ37" s="4">
        <v>1</v>
      </c>
      <c r="BR37" s="4">
        <v>0</v>
      </c>
      <c r="BS37" s="4">
        <v>0.66666666666666663</v>
      </c>
      <c r="BT37" s="4">
        <v>1</v>
      </c>
      <c r="BU37" s="4"/>
      <c r="BV37" s="4"/>
      <c r="BW37" s="4"/>
      <c r="BX37" s="4"/>
      <c r="BY37" s="4">
        <v>1</v>
      </c>
      <c r="BZ37" s="4"/>
      <c r="CA37" s="4">
        <v>1</v>
      </c>
      <c r="CB37" s="4">
        <v>1</v>
      </c>
      <c r="CC37" s="4"/>
      <c r="CD37" s="4"/>
      <c r="CE37" s="4"/>
      <c r="CF37" s="4">
        <v>1</v>
      </c>
      <c r="CG37" s="4"/>
      <c r="CH37" s="4"/>
      <c r="CI37" s="4"/>
      <c r="CJ37" s="4"/>
      <c r="CK37" s="4"/>
    </row>
    <row r="38" spans="1:89" x14ac:dyDescent="0.25">
      <c r="A38" s="4" t="s">
        <v>308</v>
      </c>
      <c r="B38" s="4" t="s">
        <v>304</v>
      </c>
      <c r="C38" s="4" t="s">
        <v>185</v>
      </c>
      <c r="D38" s="4">
        <v>2005</v>
      </c>
      <c r="E38" s="4" t="s">
        <v>148</v>
      </c>
      <c r="F38" s="4" t="s">
        <v>131</v>
      </c>
      <c r="G38" s="4" t="s">
        <v>294</v>
      </c>
      <c r="H38" s="4">
        <v>4</v>
      </c>
      <c r="I38" s="4">
        <v>2</v>
      </c>
      <c r="J38" s="4">
        <v>50</v>
      </c>
      <c r="K38" s="4" t="s">
        <v>101</v>
      </c>
      <c r="L38" s="4" t="s">
        <v>222</v>
      </c>
      <c r="M38" s="4">
        <v>2016</v>
      </c>
      <c r="N38" s="4">
        <v>2024</v>
      </c>
      <c r="O38" s="4" t="s">
        <v>103</v>
      </c>
      <c r="P38" s="4">
        <v>8</v>
      </c>
      <c r="Q38" s="4" t="s">
        <v>150</v>
      </c>
      <c r="R38" s="4">
        <v>95000</v>
      </c>
      <c r="S38" s="4">
        <v>50000</v>
      </c>
      <c r="T38" s="4">
        <v>90000</v>
      </c>
      <c r="U38" s="4"/>
      <c r="V38" s="4">
        <v>500000</v>
      </c>
      <c r="W38" s="4" t="s">
        <v>121</v>
      </c>
      <c r="X38" s="4" t="s">
        <v>252</v>
      </c>
      <c r="Y38" s="4">
        <v>3</v>
      </c>
      <c r="Z38" s="4"/>
      <c r="AA38" s="4" t="s">
        <v>309</v>
      </c>
      <c r="AB38" s="4"/>
      <c r="AC38" s="4">
        <v>24</v>
      </c>
      <c r="AD38" s="4" t="s">
        <v>310</v>
      </c>
      <c r="AE38" s="4" t="s">
        <v>178</v>
      </c>
      <c r="AF38" s="4">
        <v>0.19</v>
      </c>
      <c r="AG38" s="4" t="b">
        <v>0</v>
      </c>
      <c r="AH38" s="4">
        <v>125000</v>
      </c>
      <c r="AI38" s="4" t="s">
        <v>141</v>
      </c>
      <c r="AJ38" s="4" t="s">
        <v>142</v>
      </c>
      <c r="AK38" s="4" t="s">
        <v>143</v>
      </c>
      <c r="AL38" s="4">
        <v>23750</v>
      </c>
      <c r="AM38" s="4" t="s">
        <v>144</v>
      </c>
      <c r="AN38" s="4" t="s">
        <v>145</v>
      </c>
      <c r="AO38" s="4" t="s">
        <v>167</v>
      </c>
      <c r="AP38" s="4"/>
      <c r="AQ38" s="4"/>
      <c r="AR38" s="4"/>
      <c r="AS38" s="4"/>
      <c r="AT38" s="4">
        <v>1</v>
      </c>
      <c r="AU38" s="4">
        <v>0</v>
      </c>
      <c r="AV38" s="4"/>
      <c r="AW38" s="4"/>
      <c r="AX38" s="4"/>
      <c r="AY38" s="4"/>
      <c r="AZ38" s="4"/>
      <c r="BA38" s="4"/>
      <c r="BB38" s="4">
        <v>1</v>
      </c>
      <c r="BC38" s="4"/>
      <c r="BD38" s="4">
        <v>0</v>
      </c>
      <c r="BE38" s="4"/>
      <c r="BF38" s="4"/>
      <c r="BG38" s="4"/>
      <c r="BH38" s="4">
        <v>1</v>
      </c>
      <c r="BI38" s="4"/>
      <c r="BJ38" s="4"/>
      <c r="BK38" s="4"/>
      <c r="BL38" s="4"/>
      <c r="BM38" s="4"/>
      <c r="BN38" s="4">
        <v>1</v>
      </c>
      <c r="BO38" s="4"/>
      <c r="BP38" s="4"/>
      <c r="BQ38" s="4"/>
      <c r="BR38" s="4">
        <v>0</v>
      </c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</row>
    <row r="39" spans="1:89" x14ac:dyDescent="0.25">
      <c r="A39" s="4" t="s">
        <v>311</v>
      </c>
      <c r="B39" s="4" t="s">
        <v>304</v>
      </c>
      <c r="C39" s="4" t="s">
        <v>185</v>
      </c>
      <c r="D39" s="4">
        <v>1946</v>
      </c>
      <c r="E39" s="4" t="s">
        <v>98</v>
      </c>
      <c r="F39" s="4" t="s">
        <v>99</v>
      </c>
      <c r="G39" s="4" t="s">
        <v>100</v>
      </c>
      <c r="H39" s="4">
        <v>1</v>
      </c>
      <c r="I39" s="4">
        <v>0</v>
      </c>
      <c r="J39" s="4">
        <v>75</v>
      </c>
      <c r="K39" s="4" t="s">
        <v>101</v>
      </c>
      <c r="L39" s="4" t="s">
        <v>312</v>
      </c>
      <c r="M39" s="4">
        <v>1990</v>
      </c>
      <c r="N39" s="4">
        <v>1990</v>
      </c>
      <c r="O39" s="4" t="s">
        <v>313</v>
      </c>
      <c r="P39" s="4"/>
      <c r="Q39" s="4" t="s">
        <v>314</v>
      </c>
      <c r="R39" s="4">
        <v>50000</v>
      </c>
      <c r="S39" s="4">
        <v>13000</v>
      </c>
      <c r="T39" s="4"/>
      <c r="U39" s="4"/>
      <c r="V39" s="4">
        <v>150000</v>
      </c>
      <c r="W39" s="4" t="s">
        <v>121</v>
      </c>
      <c r="X39" s="4" t="s">
        <v>210</v>
      </c>
      <c r="Y39" s="4">
        <v>3</v>
      </c>
      <c r="Z39" s="4"/>
      <c r="AA39" s="4"/>
      <c r="AB39" s="4"/>
      <c r="AC39" s="4">
        <v>85</v>
      </c>
      <c r="AD39" s="4"/>
      <c r="AE39" s="4" t="s">
        <v>140</v>
      </c>
      <c r="AF39" s="4">
        <v>0.33333333333333331</v>
      </c>
      <c r="AG39" s="4" t="b">
        <v>1</v>
      </c>
      <c r="AH39" s="4">
        <v>150000</v>
      </c>
      <c r="AI39" s="4" t="s">
        <v>110</v>
      </c>
      <c r="AJ39" s="4" t="s">
        <v>166</v>
      </c>
      <c r="AK39" s="4" t="s">
        <v>112</v>
      </c>
      <c r="AL39" s="4">
        <v>50000</v>
      </c>
      <c r="AM39" s="4" t="s">
        <v>113</v>
      </c>
      <c r="AN39" s="4" t="s">
        <v>171</v>
      </c>
      <c r="AO39" s="4" t="s">
        <v>167</v>
      </c>
      <c r="AP39" s="4">
        <v>0.5</v>
      </c>
      <c r="AQ39" s="4"/>
      <c r="AR39" s="4">
        <v>0</v>
      </c>
      <c r="AS39" s="4"/>
      <c r="AT39" s="4">
        <v>1</v>
      </c>
      <c r="AU39" s="4">
        <v>0</v>
      </c>
      <c r="AV39" s="4">
        <v>0.4</v>
      </c>
      <c r="AW39" s="4">
        <v>0</v>
      </c>
      <c r="AX39" s="4"/>
      <c r="AY39" s="4">
        <v>0</v>
      </c>
      <c r="AZ39" s="4"/>
      <c r="BA39" s="4"/>
      <c r="BB39" s="4"/>
      <c r="BC39" s="4"/>
      <c r="BD39" s="4"/>
      <c r="BE39" s="4">
        <v>0</v>
      </c>
      <c r="BF39" s="4"/>
      <c r="BG39" s="4"/>
      <c r="BH39" s="4">
        <v>0</v>
      </c>
      <c r="BI39" s="4"/>
      <c r="BJ39" s="4"/>
      <c r="BK39" s="4"/>
      <c r="BL39" s="4"/>
      <c r="BM39" s="4"/>
      <c r="BN39" s="4"/>
      <c r="BO39" s="4"/>
      <c r="BP39" s="4"/>
      <c r="BQ39" s="4">
        <v>1</v>
      </c>
      <c r="BR39" s="4">
        <v>0</v>
      </c>
      <c r="BS39" s="4"/>
      <c r="BT39" s="4"/>
      <c r="BU39" s="4"/>
      <c r="BV39" s="4"/>
      <c r="BW39" s="4"/>
      <c r="BX39" s="4"/>
      <c r="BY39" s="4">
        <v>1</v>
      </c>
      <c r="BZ39" s="4"/>
      <c r="CA39" s="4"/>
      <c r="CB39" s="4"/>
      <c r="CC39" s="4"/>
      <c r="CD39" s="4"/>
      <c r="CE39" s="4"/>
      <c r="CF39" s="4">
        <v>0.5</v>
      </c>
      <c r="CG39" s="4"/>
      <c r="CH39" s="4"/>
      <c r="CI39" s="4"/>
      <c r="CJ39" s="4"/>
      <c r="CK39" s="4"/>
    </row>
    <row r="40" spans="1:89" x14ac:dyDescent="0.25">
      <c r="A40" s="4" t="s">
        <v>315</v>
      </c>
      <c r="B40" s="4" t="s">
        <v>304</v>
      </c>
      <c r="C40" s="4" t="s">
        <v>161</v>
      </c>
      <c r="D40" s="4">
        <v>1956</v>
      </c>
      <c r="E40" s="4" t="s">
        <v>148</v>
      </c>
      <c r="F40" s="4" t="s">
        <v>186</v>
      </c>
      <c r="G40" s="4" t="s">
        <v>100</v>
      </c>
      <c r="H40" s="4">
        <v>2</v>
      </c>
      <c r="I40" s="4">
        <v>0</v>
      </c>
      <c r="J40" s="4">
        <v>80</v>
      </c>
      <c r="K40" s="4" t="s">
        <v>101</v>
      </c>
      <c r="L40" s="4" t="s">
        <v>316</v>
      </c>
      <c r="M40" s="4">
        <v>1989</v>
      </c>
      <c r="N40" s="4">
        <v>1989</v>
      </c>
      <c r="O40" s="4" t="s">
        <v>103</v>
      </c>
      <c r="P40" s="4">
        <v>5</v>
      </c>
      <c r="Q40" s="4" t="s">
        <v>216</v>
      </c>
      <c r="R40" s="4">
        <v>70000</v>
      </c>
      <c r="S40" s="4">
        <v>70000</v>
      </c>
      <c r="T40" s="4"/>
      <c r="U40" s="4"/>
      <c r="V40" s="4"/>
      <c r="W40" s="4" t="s">
        <v>105</v>
      </c>
      <c r="X40" s="4" t="s">
        <v>317</v>
      </c>
      <c r="Y40" s="4">
        <v>2</v>
      </c>
      <c r="Z40" s="4"/>
      <c r="AA40" s="4" t="s">
        <v>318</v>
      </c>
      <c r="AB40" s="4"/>
      <c r="AC40" s="4"/>
      <c r="AD40" s="4" t="s">
        <v>319</v>
      </c>
      <c r="AE40" s="4" t="s">
        <v>140</v>
      </c>
      <c r="AF40" s="4"/>
      <c r="AG40" s="4"/>
      <c r="AH40" s="4"/>
      <c r="AI40" s="4" t="s">
        <v>190</v>
      </c>
      <c r="AJ40" s="4" t="s">
        <v>166</v>
      </c>
      <c r="AK40" s="4" t="s">
        <v>112</v>
      </c>
      <c r="AL40" s="4">
        <v>35000</v>
      </c>
      <c r="AM40" s="4" t="s">
        <v>113</v>
      </c>
      <c r="AN40" s="4" t="s">
        <v>171</v>
      </c>
      <c r="AO40" s="4"/>
      <c r="AP40" s="4">
        <v>0</v>
      </c>
      <c r="AQ40" s="4"/>
      <c r="AR40" s="4"/>
      <c r="AS40" s="4">
        <v>1</v>
      </c>
      <c r="AT40" s="4">
        <v>1</v>
      </c>
      <c r="AU40" s="4">
        <v>1</v>
      </c>
      <c r="AV40" s="4">
        <v>1</v>
      </c>
      <c r="AW40" s="4"/>
      <c r="AX40" s="4"/>
      <c r="AY40" s="4">
        <v>1</v>
      </c>
      <c r="AZ40" s="4"/>
      <c r="BA40" s="4"/>
      <c r="BB40" s="4"/>
      <c r="BC40" s="4"/>
      <c r="BD40" s="4"/>
      <c r="BE40" s="4"/>
      <c r="BF40" s="4"/>
      <c r="BG40" s="4"/>
      <c r="BH40" s="4"/>
      <c r="BI40" s="4">
        <v>1</v>
      </c>
      <c r="BJ40" s="4"/>
      <c r="BK40" s="4"/>
      <c r="BL40" s="4"/>
      <c r="BM40" s="4"/>
      <c r="BN40" s="4">
        <v>1</v>
      </c>
      <c r="BO40" s="4">
        <v>0</v>
      </c>
      <c r="BP40" s="4"/>
      <c r="BQ40" s="4">
        <v>1</v>
      </c>
      <c r="BR40" s="4">
        <v>0</v>
      </c>
      <c r="BS40" s="4"/>
      <c r="BT40" s="4"/>
      <c r="BU40" s="4"/>
      <c r="BV40" s="4"/>
      <c r="BW40" s="4"/>
      <c r="BX40" s="4"/>
      <c r="BY40" s="4"/>
      <c r="BZ40" s="4"/>
      <c r="CA40" s="4">
        <v>0</v>
      </c>
      <c r="CB40" s="4"/>
      <c r="CC40" s="4"/>
      <c r="CD40" s="4"/>
      <c r="CE40" s="4"/>
      <c r="CF40" s="4"/>
      <c r="CG40" s="4"/>
      <c r="CH40" s="4"/>
      <c r="CI40" s="4"/>
      <c r="CJ40" s="4"/>
      <c r="CK40" s="4"/>
    </row>
    <row r="41" spans="1:89" x14ac:dyDescent="0.25">
      <c r="A41" s="4" t="s">
        <v>320</v>
      </c>
      <c r="B41" s="4" t="s">
        <v>304</v>
      </c>
      <c r="C41" s="4" t="s">
        <v>161</v>
      </c>
      <c r="D41" s="4">
        <v>1990</v>
      </c>
      <c r="E41" s="4" t="s">
        <v>148</v>
      </c>
      <c r="F41" s="4" t="s">
        <v>99</v>
      </c>
      <c r="G41" s="4" t="s">
        <v>100</v>
      </c>
      <c r="H41" s="4">
        <v>2</v>
      </c>
      <c r="I41" s="4">
        <v>0</v>
      </c>
      <c r="J41" s="4">
        <v>27</v>
      </c>
      <c r="K41" s="4" t="s">
        <v>133</v>
      </c>
      <c r="L41" s="4" t="s">
        <v>321</v>
      </c>
      <c r="M41" s="4">
        <v>2017</v>
      </c>
      <c r="N41" s="4">
        <v>2018</v>
      </c>
      <c r="O41" s="4" t="s">
        <v>322</v>
      </c>
      <c r="P41" s="4"/>
      <c r="Q41" s="4" t="s">
        <v>248</v>
      </c>
      <c r="R41" s="4">
        <v>40000</v>
      </c>
      <c r="S41" s="4">
        <v>25000</v>
      </c>
      <c r="T41" s="4"/>
      <c r="U41" s="4"/>
      <c r="V41" s="4"/>
      <c r="W41" s="4" t="s">
        <v>137</v>
      </c>
      <c r="X41" s="4" t="s">
        <v>175</v>
      </c>
      <c r="Y41" s="4">
        <v>4</v>
      </c>
      <c r="Z41" s="4" t="s">
        <v>323</v>
      </c>
      <c r="AA41" s="4" t="s">
        <v>324</v>
      </c>
      <c r="AB41" s="4"/>
      <c r="AC41" s="4"/>
      <c r="AD41" s="4"/>
      <c r="AE41" s="4" t="s">
        <v>178</v>
      </c>
      <c r="AF41" s="4"/>
      <c r="AG41" s="4"/>
      <c r="AH41" s="4"/>
      <c r="AI41" s="4" t="s">
        <v>110</v>
      </c>
      <c r="AJ41" s="4" t="s">
        <v>159</v>
      </c>
      <c r="AK41" s="4" t="s">
        <v>112</v>
      </c>
      <c r="AL41" s="4">
        <v>20000</v>
      </c>
      <c r="AM41" s="4" t="s">
        <v>126</v>
      </c>
      <c r="AN41" s="4" t="s">
        <v>127</v>
      </c>
      <c r="AO41" s="4"/>
      <c r="AP41" s="4"/>
      <c r="AQ41" s="4">
        <v>0</v>
      </c>
      <c r="AR41" s="4">
        <v>1</v>
      </c>
      <c r="AS41" s="4">
        <v>0</v>
      </c>
      <c r="AT41" s="4">
        <v>1</v>
      </c>
      <c r="AU41" s="4"/>
      <c r="AV41" s="4">
        <v>0</v>
      </c>
      <c r="AW41" s="4">
        <v>0</v>
      </c>
      <c r="AX41" s="4"/>
      <c r="AY41" s="4">
        <v>1</v>
      </c>
      <c r="AZ41" s="4"/>
      <c r="BA41" s="4"/>
      <c r="BB41" s="4">
        <v>1</v>
      </c>
      <c r="BC41" s="4">
        <v>1</v>
      </c>
      <c r="BD41" s="4"/>
      <c r="BE41" s="4"/>
      <c r="BF41" s="4"/>
      <c r="BG41" s="4"/>
      <c r="BH41" s="4">
        <v>0</v>
      </c>
      <c r="BI41" s="4">
        <v>0.33333333333333331</v>
      </c>
      <c r="BJ41" s="4">
        <v>1</v>
      </c>
      <c r="BK41" s="4"/>
      <c r="BL41" s="4"/>
      <c r="BM41" s="4"/>
      <c r="BN41" s="4"/>
      <c r="BO41" s="4"/>
      <c r="BP41" s="4">
        <v>1</v>
      </c>
      <c r="BQ41" s="4">
        <v>0</v>
      </c>
      <c r="BR41" s="4"/>
      <c r="BS41" s="4">
        <v>1</v>
      </c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</row>
    <row r="42" spans="1:89" x14ac:dyDescent="0.25">
      <c r="A42" s="4" t="s">
        <v>325</v>
      </c>
      <c r="B42" s="4" t="s">
        <v>304</v>
      </c>
      <c r="C42" s="4" t="s">
        <v>326</v>
      </c>
      <c r="D42" s="4">
        <v>1999</v>
      </c>
      <c r="E42" s="4" t="s">
        <v>98</v>
      </c>
      <c r="F42" s="4" t="s">
        <v>99</v>
      </c>
      <c r="G42" s="4" t="s">
        <v>132</v>
      </c>
      <c r="H42" s="4">
        <v>1</v>
      </c>
      <c r="I42" s="4">
        <v>0</v>
      </c>
      <c r="J42" s="4">
        <v>36</v>
      </c>
      <c r="K42" s="4" t="s">
        <v>133</v>
      </c>
      <c r="L42" s="4" t="s">
        <v>199</v>
      </c>
      <c r="M42" s="4">
        <v>2025</v>
      </c>
      <c r="N42" s="4">
        <v>2025</v>
      </c>
      <c r="O42" s="4" t="s">
        <v>103</v>
      </c>
      <c r="P42" s="4">
        <v>9</v>
      </c>
      <c r="Q42" s="4" t="s">
        <v>104</v>
      </c>
      <c r="R42" s="4">
        <v>240000</v>
      </c>
      <c r="S42" s="4">
        <v>20000</v>
      </c>
      <c r="T42" s="4">
        <v>220000</v>
      </c>
      <c r="U42" s="4"/>
      <c r="V42" s="4"/>
      <c r="W42" s="4" t="s">
        <v>137</v>
      </c>
      <c r="X42" s="4" t="s">
        <v>269</v>
      </c>
      <c r="Y42" s="4">
        <v>5</v>
      </c>
      <c r="Z42" s="4"/>
      <c r="AA42" s="4"/>
      <c r="AB42" s="4"/>
      <c r="AC42" s="4">
        <v>28</v>
      </c>
      <c r="AD42" s="4" t="s">
        <v>327</v>
      </c>
      <c r="AE42" s="4" t="s">
        <v>178</v>
      </c>
      <c r="AF42" s="4"/>
      <c r="AG42" s="4"/>
      <c r="AH42" s="4"/>
      <c r="AI42" s="4" t="s">
        <v>110</v>
      </c>
      <c r="AJ42" s="4" t="s">
        <v>142</v>
      </c>
      <c r="AK42" s="4" t="s">
        <v>143</v>
      </c>
      <c r="AL42" s="4">
        <v>240000</v>
      </c>
      <c r="AM42" s="4" t="s">
        <v>144</v>
      </c>
      <c r="AN42" s="4" t="s">
        <v>145</v>
      </c>
      <c r="AO42" s="4"/>
      <c r="AP42" s="4">
        <v>1</v>
      </c>
      <c r="AQ42" s="4"/>
      <c r="AR42" s="4">
        <v>1</v>
      </c>
      <c r="AS42" s="4"/>
      <c r="AT42" s="4">
        <v>1</v>
      </c>
      <c r="AU42" s="4">
        <v>1</v>
      </c>
      <c r="AV42" s="4"/>
      <c r="AW42" s="4"/>
      <c r="AX42" s="4"/>
      <c r="AY42" s="4"/>
      <c r="AZ42" s="4"/>
      <c r="BA42" s="4"/>
      <c r="BB42" s="4">
        <v>1</v>
      </c>
      <c r="BC42" s="4"/>
      <c r="BD42" s="4"/>
      <c r="BE42" s="4">
        <v>1</v>
      </c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</row>
    <row r="43" spans="1:89" x14ac:dyDescent="0.25">
      <c r="A43" s="4" t="s">
        <v>328</v>
      </c>
      <c r="B43" s="4" t="s">
        <v>304</v>
      </c>
      <c r="C43" s="4" t="s">
        <v>326</v>
      </c>
      <c r="D43" s="4">
        <v>1957</v>
      </c>
      <c r="E43" s="4" t="s">
        <v>98</v>
      </c>
      <c r="F43" s="4" t="s">
        <v>131</v>
      </c>
      <c r="G43" s="4" t="s">
        <v>100</v>
      </c>
      <c r="H43" s="4">
        <v>3</v>
      </c>
      <c r="I43" s="4">
        <v>0</v>
      </c>
      <c r="J43" s="4">
        <v>56</v>
      </c>
      <c r="K43" s="4" t="s">
        <v>101</v>
      </c>
      <c r="L43" s="4" t="s">
        <v>329</v>
      </c>
      <c r="M43" s="4">
        <v>1982</v>
      </c>
      <c r="N43" s="4">
        <v>1982</v>
      </c>
      <c r="O43" s="4" t="s">
        <v>103</v>
      </c>
      <c r="P43" s="4">
        <v>22</v>
      </c>
      <c r="Q43" s="4" t="s">
        <v>120</v>
      </c>
      <c r="R43" s="4">
        <v>75000</v>
      </c>
      <c r="S43" s="4">
        <v>75000</v>
      </c>
      <c r="T43" s="4"/>
      <c r="U43" s="4"/>
      <c r="V43" s="4">
        <v>300000</v>
      </c>
      <c r="W43" s="4" t="s">
        <v>137</v>
      </c>
      <c r="X43" s="4" t="s">
        <v>269</v>
      </c>
      <c r="Y43" s="4">
        <v>5</v>
      </c>
      <c r="Z43" s="4"/>
      <c r="AA43" s="4"/>
      <c r="AB43" s="4"/>
      <c r="AC43" s="4">
        <v>35</v>
      </c>
      <c r="AD43" s="4" t="s">
        <v>330</v>
      </c>
      <c r="AE43" s="4" t="s">
        <v>178</v>
      </c>
      <c r="AF43" s="4">
        <v>0.25</v>
      </c>
      <c r="AG43" s="4" t="b">
        <v>0</v>
      </c>
      <c r="AH43" s="4">
        <v>100000</v>
      </c>
      <c r="AI43" s="4" t="s">
        <v>141</v>
      </c>
      <c r="AJ43" s="4" t="s">
        <v>166</v>
      </c>
      <c r="AK43" s="4" t="s">
        <v>112</v>
      </c>
      <c r="AL43" s="4">
        <v>25000</v>
      </c>
      <c r="AM43" s="4" t="s">
        <v>113</v>
      </c>
      <c r="AN43" s="4" t="s">
        <v>171</v>
      </c>
      <c r="AO43" s="4" t="s">
        <v>167</v>
      </c>
      <c r="AP43" s="4"/>
      <c r="AQ43" s="4"/>
      <c r="AR43" s="4">
        <v>1</v>
      </c>
      <c r="AS43" s="4"/>
      <c r="AT43" s="4">
        <v>1</v>
      </c>
      <c r="AU43" s="4">
        <v>0</v>
      </c>
      <c r="AV43" s="4">
        <v>0</v>
      </c>
      <c r="AW43" s="4">
        <v>0</v>
      </c>
      <c r="AX43" s="4"/>
      <c r="AY43" s="4">
        <v>0</v>
      </c>
      <c r="AZ43" s="4">
        <v>0</v>
      </c>
      <c r="BA43" s="4"/>
      <c r="BB43" s="4">
        <v>0</v>
      </c>
      <c r="BC43" s="4"/>
      <c r="BD43" s="4"/>
      <c r="BE43" s="4"/>
      <c r="BF43" s="4"/>
      <c r="BG43" s="4"/>
      <c r="BH43" s="4">
        <v>0</v>
      </c>
      <c r="BI43" s="4"/>
      <c r="BJ43" s="4">
        <v>1</v>
      </c>
      <c r="BK43" s="4"/>
      <c r="BL43" s="4"/>
      <c r="BM43" s="4"/>
      <c r="BN43" s="4"/>
      <c r="BO43" s="4"/>
      <c r="BP43" s="4"/>
      <c r="BQ43" s="4"/>
      <c r="BR43" s="4">
        <v>0</v>
      </c>
      <c r="BS43" s="4"/>
      <c r="BT43" s="4"/>
      <c r="BU43" s="4"/>
      <c r="BV43" s="4"/>
      <c r="BW43" s="4"/>
      <c r="BX43" s="4"/>
      <c r="BY43" s="4">
        <v>0</v>
      </c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</row>
    <row r="44" spans="1:89" x14ac:dyDescent="0.25">
      <c r="A44" s="4" t="s">
        <v>331</v>
      </c>
      <c r="B44" s="4" t="s">
        <v>154</v>
      </c>
      <c r="C44" s="4" t="s">
        <v>162</v>
      </c>
      <c r="D44" s="4">
        <v>1970</v>
      </c>
      <c r="E44" s="4" t="s">
        <v>98</v>
      </c>
      <c r="F44" s="4" t="s">
        <v>99</v>
      </c>
      <c r="G44" s="4" t="s">
        <v>100</v>
      </c>
      <c r="H44" s="4">
        <v>3</v>
      </c>
      <c r="I44" s="4">
        <v>1</v>
      </c>
      <c r="J44" s="4">
        <v>53</v>
      </c>
      <c r="K44" s="4" t="s">
        <v>133</v>
      </c>
      <c r="L44" s="4" t="s">
        <v>332</v>
      </c>
      <c r="M44" s="4">
        <v>2003</v>
      </c>
      <c r="N44" s="4">
        <v>2003</v>
      </c>
      <c r="O44" s="4" t="s">
        <v>103</v>
      </c>
      <c r="P44" s="4">
        <v>11</v>
      </c>
      <c r="Q44" s="4" t="s">
        <v>120</v>
      </c>
      <c r="R44" s="4">
        <v>188000</v>
      </c>
      <c r="S44" s="4">
        <v>150000</v>
      </c>
      <c r="T44" s="4"/>
      <c r="U44" s="4">
        <v>38000</v>
      </c>
      <c r="V44" s="4">
        <v>650000</v>
      </c>
      <c r="W44" s="4" t="s">
        <v>156</v>
      </c>
      <c r="X44" s="4" t="s">
        <v>175</v>
      </c>
      <c r="Y44" s="4">
        <v>3</v>
      </c>
      <c r="Z44" s="4"/>
      <c r="AA44" s="4" t="s">
        <v>333</v>
      </c>
      <c r="AB44" s="4" t="s">
        <v>334</v>
      </c>
      <c r="AC44" s="4">
        <v>53</v>
      </c>
      <c r="AD44" s="4"/>
      <c r="AE44" s="4" t="s">
        <v>178</v>
      </c>
      <c r="AF44" s="4">
        <v>0.28923076923076918</v>
      </c>
      <c r="AG44" s="4" t="b">
        <v>0</v>
      </c>
      <c r="AH44" s="4">
        <v>216666.66666666669</v>
      </c>
      <c r="AI44" s="4" t="s">
        <v>110</v>
      </c>
      <c r="AJ44" s="4" t="s">
        <v>111</v>
      </c>
      <c r="AK44" s="4" t="s">
        <v>112</v>
      </c>
      <c r="AL44" s="4">
        <v>62666.666666666657</v>
      </c>
      <c r="AM44" s="4" t="s">
        <v>126</v>
      </c>
      <c r="AN44" s="4" t="s">
        <v>114</v>
      </c>
      <c r="AO44" s="4" t="s">
        <v>115</v>
      </c>
      <c r="AP44" s="4"/>
      <c r="AQ44" s="4"/>
      <c r="AR44" s="4">
        <v>1</v>
      </c>
      <c r="AS44" s="4">
        <v>1</v>
      </c>
      <c r="AT44" s="4">
        <v>1</v>
      </c>
      <c r="AU44" s="4"/>
      <c r="AV44" s="4">
        <v>0.5</v>
      </c>
      <c r="AW44" s="4">
        <v>1</v>
      </c>
      <c r="AX44" s="4"/>
      <c r="AY44" s="4"/>
      <c r="AZ44" s="4"/>
      <c r="BA44" s="4">
        <v>1</v>
      </c>
      <c r="BB44" s="4">
        <v>0</v>
      </c>
      <c r="BC44" s="4"/>
      <c r="BD44" s="4"/>
      <c r="BE44" s="4">
        <v>0</v>
      </c>
      <c r="BF44" s="4"/>
      <c r="BG44" s="4">
        <v>1</v>
      </c>
      <c r="BH44" s="4"/>
      <c r="BI44" s="4"/>
      <c r="BJ44" s="4">
        <v>1</v>
      </c>
      <c r="BK44" s="4"/>
      <c r="BL44" s="4"/>
      <c r="BM44" s="4"/>
      <c r="BN44" s="4"/>
      <c r="BO44" s="4">
        <v>1</v>
      </c>
      <c r="BP44" s="4"/>
      <c r="BQ44" s="4"/>
      <c r="BR44" s="4">
        <v>0</v>
      </c>
      <c r="BS44" s="4">
        <v>1</v>
      </c>
      <c r="BT44" s="4"/>
      <c r="BU44" s="4"/>
      <c r="BV44" s="4"/>
      <c r="BW44" s="4"/>
      <c r="BX44" s="4"/>
      <c r="BY44" s="4"/>
      <c r="BZ44" s="4"/>
      <c r="CA44" s="4">
        <v>0.5</v>
      </c>
      <c r="CB44" s="4"/>
      <c r="CC44" s="4"/>
      <c r="CD44" s="4"/>
      <c r="CE44" s="4"/>
      <c r="CF44" s="4">
        <v>1</v>
      </c>
      <c r="CG44" s="4"/>
      <c r="CH44" s="4"/>
      <c r="CI44" s="4"/>
      <c r="CJ44" s="4">
        <v>1</v>
      </c>
      <c r="CK44" s="4"/>
    </row>
    <row r="45" spans="1:89" x14ac:dyDescent="0.25">
      <c r="A45" s="4" t="s">
        <v>335</v>
      </c>
      <c r="B45" s="4" t="s">
        <v>154</v>
      </c>
      <c r="C45" s="4" t="s">
        <v>97</v>
      </c>
      <c r="D45" s="4">
        <v>1997</v>
      </c>
      <c r="E45" s="4" t="s">
        <v>148</v>
      </c>
      <c r="F45" s="4" t="s">
        <v>99</v>
      </c>
      <c r="G45" s="4" t="s">
        <v>132</v>
      </c>
      <c r="H45" s="4">
        <v>2</v>
      </c>
      <c r="I45" s="4">
        <v>0</v>
      </c>
      <c r="J45" s="4">
        <v>80</v>
      </c>
      <c r="K45" s="4" t="s">
        <v>101</v>
      </c>
      <c r="L45" s="4" t="s">
        <v>204</v>
      </c>
      <c r="M45" s="4">
        <v>2023</v>
      </c>
      <c r="N45" s="4">
        <v>2023</v>
      </c>
      <c r="O45" s="4" t="s">
        <v>103</v>
      </c>
      <c r="P45" s="4">
        <v>12</v>
      </c>
      <c r="Q45" s="4" t="s">
        <v>120</v>
      </c>
      <c r="R45" s="4">
        <v>150000</v>
      </c>
      <c r="S45" s="4">
        <v>30000</v>
      </c>
      <c r="T45" s="4">
        <v>120000</v>
      </c>
      <c r="U45" s="4"/>
      <c r="V45" s="4">
        <v>800000</v>
      </c>
      <c r="W45" s="4" t="s">
        <v>137</v>
      </c>
      <c r="X45" s="4" t="s">
        <v>281</v>
      </c>
      <c r="Y45" s="4">
        <v>2</v>
      </c>
      <c r="Z45" s="4"/>
      <c r="AA45" s="4" t="s">
        <v>336</v>
      </c>
      <c r="AB45" s="4"/>
      <c r="AC45" s="4">
        <v>45</v>
      </c>
      <c r="AD45" s="4" t="s">
        <v>337</v>
      </c>
      <c r="AE45" s="4" t="s">
        <v>109</v>
      </c>
      <c r="AF45" s="4">
        <v>0.1875</v>
      </c>
      <c r="AG45" s="4" t="b">
        <v>0</v>
      </c>
      <c r="AH45" s="4">
        <v>400000</v>
      </c>
      <c r="AI45" s="4" t="s">
        <v>110</v>
      </c>
      <c r="AJ45" s="4" t="s">
        <v>142</v>
      </c>
      <c r="AK45" s="4" t="s">
        <v>143</v>
      </c>
      <c r="AL45" s="4">
        <v>75000</v>
      </c>
      <c r="AM45" s="4" t="s">
        <v>144</v>
      </c>
      <c r="AN45" s="4" t="s">
        <v>127</v>
      </c>
      <c r="AO45" s="4" t="s">
        <v>128</v>
      </c>
      <c r="AP45" s="4">
        <v>0</v>
      </c>
      <c r="AQ45" s="4"/>
      <c r="AR45" s="4"/>
      <c r="AS45" s="4"/>
      <c r="AT45" s="4">
        <v>0.5</v>
      </c>
      <c r="AU45" s="4">
        <v>0</v>
      </c>
      <c r="AV45" s="4"/>
      <c r="AW45" s="4"/>
      <c r="AX45" s="4"/>
      <c r="AY45" s="4">
        <v>1</v>
      </c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>
        <v>1</v>
      </c>
      <c r="BO45" s="4">
        <v>1</v>
      </c>
      <c r="BP45" s="4"/>
      <c r="BQ45" s="4">
        <v>1</v>
      </c>
      <c r="BR45" s="4"/>
      <c r="BS45" s="4">
        <v>1</v>
      </c>
      <c r="BT45" s="4"/>
      <c r="BU45" s="4"/>
      <c r="BV45" s="4"/>
      <c r="BW45" s="4"/>
      <c r="BX45" s="4"/>
      <c r="BY45" s="4"/>
      <c r="BZ45" s="4">
        <v>1</v>
      </c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</row>
    <row r="46" spans="1:89" x14ac:dyDescent="0.25">
      <c r="A46" s="4" t="s">
        <v>338</v>
      </c>
      <c r="B46" s="4" t="s">
        <v>154</v>
      </c>
      <c r="C46" s="4" t="s">
        <v>326</v>
      </c>
      <c r="D46" s="4">
        <v>1979</v>
      </c>
      <c r="E46" s="4" t="s">
        <v>148</v>
      </c>
      <c r="F46" s="4" t="s">
        <v>99</v>
      </c>
      <c r="G46" s="4" t="s">
        <v>100</v>
      </c>
      <c r="H46" s="4">
        <v>2</v>
      </c>
      <c r="I46" s="4">
        <v>0</v>
      </c>
      <c r="J46" s="4">
        <v>99</v>
      </c>
      <c r="K46" s="4" t="s">
        <v>101</v>
      </c>
      <c r="L46" s="4" t="s">
        <v>339</v>
      </c>
      <c r="M46" s="4">
        <v>1999</v>
      </c>
      <c r="N46" s="4">
        <v>1999</v>
      </c>
      <c r="O46" s="4" t="s">
        <v>103</v>
      </c>
      <c r="P46" s="4">
        <v>6</v>
      </c>
      <c r="Q46" s="4" t="s">
        <v>104</v>
      </c>
      <c r="R46" s="4">
        <v>90000</v>
      </c>
      <c r="S46" s="4">
        <v>45000</v>
      </c>
      <c r="T46" s="4"/>
      <c r="U46" s="4"/>
      <c r="V46" s="4">
        <v>700000</v>
      </c>
      <c r="W46" s="4" t="s">
        <v>137</v>
      </c>
      <c r="X46" s="4" t="s">
        <v>210</v>
      </c>
      <c r="Y46" s="4">
        <v>3</v>
      </c>
      <c r="Z46" s="4" t="s">
        <v>340</v>
      </c>
      <c r="AA46" s="4" t="s">
        <v>341</v>
      </c>
      <c r="AB46" s="4"/>
      <c r="AC46" s="4">
        <v>40</v>
      </c>
      <c r="AD46" s="4"/>
      <c r="AE46" s="4" t="s">
        <v>140</v>
      </c>
      <c r="AF46" s="4">
        <v>0.12857142857142859</v>
      </c>
      <c r="AG46" s="4" t="b">
        <v>0</v>
      </c>
      <c r="AH46" s="4">
        <v>350000</v>
      </c>
      <c r="AI46" s="4" t="s">
        <v>110</v>
      </c>
      <c r="AJ46" s="4" t="s">
        <v>159</v>
      </c>
      <c r="AK46" s="4" t="s">
        <v>112</v>
      </c>
      <c r="AL46" s="4">
        <v>45000</v>
      </c>
      <c r="AM46" s="4" t="s">
        <v>126</v>
      </c>
      <c r="AN46" s="4" t="s">
        <v>114</v>
      </c>
      <c r="AO46" s="4" t="s">
        <v>115</v>
      </c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</row>
    <row r="47" spans="1:89" x14ac:dyDescent="0.25">
      <c r="A47" s="4" t="s">
        <v>342</v>
      </c>
      <c r="B47" s="4" t="s">
        <v>154</v>
      </c>
      <c r="C47" s="4" t="s">
        <v>326</v>
      </c>
      <c r="D47" s="4">
        <v>1952</v>
      </c>
      <c r="E47" s="4" t="s">
        <v>148</v>
      </c>
      <c r="F47" s="4" t="s">
        <v>192</v>
      </c>
      <c r="G47" s="4" t="s">
        <v>100</v>
      </c>
      <c r="H47" s="4">
        <v>2</v>
      </c>
      <c r="I47" s="4">
        <v>0</v>
      </c>
      <c r="J47" s="4">
        <v>78</v>
      </c>
      <c r="K47" s="4" t="s">
        <v>133</v>
      </c>
      <c r="L47" s="4" t="s">
        <v>343</v>
      </c>
      <c r="M47" s="4">
        <v>2013</v>
      </c>
      <c r="N47" s="4">
        <v>2013</v>
      </c>
      <c r="O47" s="4" t="s">
        <v>103</v>
      </c>
      <c r="P47" s="4">
        <v>9</v>
      </c>
      <c r="Q47" s="4" t="s">
        <v>104</v>
      </c>
      <c r="R47" s="4">
        <v>90000</v>
      </c>
      <c r="S47" s="4">
        <v>90000</v>
      </c>
      <c r="T47" s="4"/>
      <c r="U47" s="4"/>
      <c r="V47" s="4">
        <v>500000</v>
      </c>
      <c r="W47" s="4" t="s">
        <v>137</v>
      </c>
      <c r="X47" s="4" t="s">
        <v>281</v>
      </c>
      <c r="Y47" s="4">
        <v>2</v>
      </c>
      <c r="Z47" s="4" t="s">
        <v>344</v>
      </c>
      <c r="AA47" s="4" t="s">
        <v>345</v>
      </c>
      <c r="AB47" s="4"/>
      <c r="AC47" s="4">
        <v>46</v>
      </c>
      <c r="AD47" s="4"/>
      <c r="AE47" s="4" t="s">
        <v>109</v>
      </c>
      <c r="AF47" s="4">
        <v>0.18</v>
      </c>
      <c r="AG47" s="4" t="b">
        <v>0</v>
      </c>
      <c r="AH47" s="4">
        <v>250000</v>
      </c>
      <c r="AI47" s="4" t="s">
        <v>190</v>
      </c>
      <c r="AJ47" s="4" t="s">
        <v>166</v>
      </c>
      <c r="AK47" s="4" t="s">
        <v>112</v>
      </c>
      <c r="AL47" s="4">
        <v>45000</v>
      </c>
      <c r="AM47" s="4" t="s">
        <v>113</v>
      </c>
      <c r="AN47" s="4" t="s">
        <v>114</v>
      </c>
      <c r="AO47" s="4" t="s">
        <v>115</v>
      </c>
      <c r="AP47" s="4">
        <v>0.5</v>
      </c>
      <c r="AQ47" s="4"/>
      <c r="AR47" s="4"/>
      <c r="AS47" s="4">
        <v>0</v>
      </c>
      <c r="AT47" s="4">
        <v>1</v>
      </c>
      <c r="AU47" s="4">
        <v>0</v>
      </c>
      <c r="AV47" s="4"/>
      <c r="AW47" s="4"/>
      <c r="AX47" s="4"/>
      <c r="AY47" s="4"/>
      <c r="AZ47" s="4"/>
      <c r="BA47" s="4"/>
      <c r="BB47" s="4"/>
      <c r="BC47" s="4"/>
      <c r="BD47" s="4"/>
      <c r="BE47" s="4">
        <v>0</v>
      </c>
      <c r="BF47" s="4">
        <v>0</v>
      </c>
      <c r="BG47" s="4"/>
      <c r="BH47" s="4"/>
      <c r="BI47" s="4">
        <v>1</v>
      </c>
      <c r="BJ47" s="4"/>
      <c r="BK47" s="4"/>
      <c r="BL47" s="4"/>
      <c r="BM47" s="4"/>
      <c r="BN47" s="4">
        <v>0</v>
      </c>
      <c r="BO47" s="4"/>
      <c r="BP47" s="4"/>
      <c r="BQ47" s="4">
        <v>1</v>
      </c>
      <c r="BR47" s="4"/>
      <c r="BS47" s="4"/>
      <c r="BT47" s="4"/>
      <c r="BU47" s="4"/>
      <c r="BV47" s="4"/>
      <c r="BW47" s="4"/>
      <c r="BX47" s="4"/>
      <c r="BY47" s="4"/>
      <c r="BZ47" s="4"/>
      <c r="CA47" s="4">
        <v>0</v>
      </c>
      <c r="CB47" s="4"/>
      <c r="CC47" s="4"/>
      <c r="CD47" s="4"/>
      <c r="CE47" s="4"/>
      <c r="CF47" s="4"/>
      <c r="CG47" s="4"/>
      <c r="CH47" s="4"/>
      <c r="CI47" s="4"/>
      <c r="CJ47" s="4"/>
      <c r="CK47" s="4"/>
    </row>
    <row r="48" spans="1:89" x14ac:dyDescent="0.25">
      <c r="A48" s="4" t="s">
        <v>346</v>
      </c>
      <c r="B48" s="4" t="s">
        <v>154</v>
      </c>
      <c r="C48" s="4" t="s">
        <v>180</v>
      </c>
      <c r="D48" s="4">
        <v>1952</v>
      </c>
      <c r="E48" s="4" t="s">
        <v>148</v>
      </c>
      <c r="F48" s="4" t="s">
        <v>192</v>
      </c>
      <c r="G48" s="4" t="s">
        <v>294</v>
      </c>
      <c r="H48" s="4">
        <v>1</v>
      </c>
      <c r="I48" s="4">
        <v>0</v>
      </c>
      <c r="J48" s="4">
        <v>30</v>
      </c>
      <c r="K48" s="4" t="s">
        <v>133</v>
      </c>
      <c r="L48" s="4" t="s">
        <v>347</v>
      </c>
      <c r="M48" s="4">
        <v>2000</v>
      </c>
      <c r="N48" s="4">
        <v>2000</v>
      </c>
      <c r="O48" s="4" t="s">
        <v>103</v>
      </c>
      <c r="P48" s="4">
        <v>15</v>
      </c>
      <c r="Q48" s="4" t="s">
        <v>104</v>
      </c>
      <c r="R48" s="4">
        <v>50000</v>
      </c>
      <c r="S48" s="4">
        <v>29000</v>
      </c>
      <c r="T48" s="4">
        <v>19000</v>
      </c>
      <c r="U48" s="4"/>
      <c r="V48" s="4">
        <v>298000</v>
      </c>
      <c r="W48" s="4" t="s">
        <v>137</v>
      </c>
      <c r="X48" s="4" t="s">
        <v>281</v>
      </c>
      <c r="Y48" s="4">
        <v>2</v>
      </c>
      <c r="Z48" s="4"/>
      <c r="AA48" s="4"/>
      <c r="AB48" s="4"/>
      <c r="AC48" s="4">
        <v>43</v>
      </c>
      <c r="AD48" s="4" t="s">
        <v>348</v>
      </c>
      <c r="AE48" s="4" t="s">
        <v>109</v>
      </c>
      <c r="AF48" s="4">
        <v>0.16778523489932889</v>
      </c>
      <c r="AG48" s="4" t="b">
        <v>0</v>
      </c>
      <c r="AH48" s="4">
        <v>298000</v>
      </c>
      <c r="AI48" s="4" t="s">
        <v>190</v>
      </c>
      <c r="AJ48" s="4" t="s">
        <v>166</v>
      </c>
      <c r="AK48" s="4" t="s">
        <v>143</v>
      </c>
      <c r="AL48" s="4">
        <v>50000</v>
      </c>
      <c r="AM48" s="4" t="s">
        <v>113</v>
      </c>
      <c r="AN48" s="4" t="s">
        <v>114</v>
      </c>
      <c r="AO48" s="4" t="s">
        <v>115</v>
      </c>
      <c r="AP48" s="4">
        <v>0</v>
      </c>
      <c r="AQ48" s="4"/>
      <c r="AR48" s="4"/>
      <c r="AS48" s="4"/>
      <c r="AT48" s="4">
        <v>1</v>
      </c>
      <c r="AU48" s="4">
        <v>0</v>
      </c>
      <c r="AV48" s="4"/>
      <c r="AW48" s="4"/>
      <c r="AX48" s="4"/>
      <c r="AY48" s="4">
        <v>1</v>
      </c>
      <c r="AZ48" s="4"/>
      <c r="BA48" s="4">
        <v>0</v>
      </c>
      <c r="BB48" s="4"/>
      <c r="BC48" s="4"/>
      <c r="BD48" s="4"/>
      <c r="BE48" s="4"/>
      <c r="BF48" s="4"/>
      <c r="BG48" s="4">
        <v>0</v>
      </c>
      <c r="BH48" s="4"/>
      <c r="BI48" s="4"/>
      <c r="BJ48" s="4"/>
      <c r="BK48" s="4"/>
      <c r="BL48" s="4"/>
      <c r="BM48" s="4"/>
      <c r="BN48" s="4">
        <v>1</v>
      </c>
      <c r="BO48" s="4"/>
      <c r="BP48" s="4">
        <v>0</v>
      </c>
      <c r="BQ48" s="4">
        <v>1</v>
      </c>
      <c r="BR48" s="4">
        <v>0</v>
      </c>
      <c r="BS48" s="4"/>
      <c r="BT48" s="4"/>
      <c r="BU48" s="4"/>
      <c r="BV48" s="4"/>
      <c r="BW48" s="4"/>
      <c r="BX48" s="4"/>
      <c r="BY48" s="4"/>
      <c r="BZ48" s="4"/>
      <c r="CA48" s="4">
        <v>1</v>
      </c>
      <c r="CB48" s="4"/>
      <c r="CC48" s="4"/>
      <c r="CD48" s="4"/>
      <c r="CE48" s="4"/>
      <c r="CF48" s="4"/>
      <c r="CG48" s="4"/>
      <c r="CH48" s="4"/>
      <c r="CI48" s="4"/>
      <c r="CJ48" s="4"/>
      <c r="CK48" s="4"/>
    </row>
    <row r="49" spans="1:89" x14ac:dyDescent="0.25">
      <c r="A49" s="4" t="s">
        <v>349</v>
      </c>
      <c r="B49" s="4" t="s">
        <v>154</v>
      </c>
      <c r="C49" s="4" t="s">
        <v>180</v>
      </c>
      <c r="D49" s="4">
        <v>1975</v>
      </c>
      <c r="E49" s="4" t="s">
        <v>148</v>
      </c>
      <c r="F49" s="4" t="s">
        <v>131</v>
      </c>
      <c r="G49" s="4" t="s">
        <v>187</v>
      </c>
      <c r="H49" s="4">
        <v>1</v>
      </c>
      <c r="I49" s="4">
        <v>0</v>
      </c>
      <c r="J49" s="4">
        <v>30</v>
      </c>
      <c r="K49" s="4" t="s">
        <v>133</v>
      </c>
      <c r="L49" s="4" t="s">
        <v>350</v>
      </c>
      <c r="M49" s="4">
        <v>2022</v>
      </c>
      <c r="N49" s="4">
        <v>2022</v>
      </c>
      <c r="O49" s="4" t="s">
        <v>351</v>
      </c>
      <c r="P49" s="4"/>
      <c r="Q49" s="4" t="s">
        <v>216</v>
      </c>
      <c r="R49" s="4">
        <v>140000</v>
      </c>
      <c r="S49" s="4">
        <v>40000</v>
      </c>
      <c r="T49" s="4">
        <v>100000</v>
      </c>
      <c r="U49" s="4"/>
      <c r="V49" s="4">
        <v>600000</v>
      </c>
      <c r="W49" s="4" t="s">
        <v>259</v>
      </c>
      <c r="X49" s="4" t="s">
        <v>252</v>
      </c>
      <c r="Y49" s="4">
        <v>0</v>
      </c>
      <c r="Z49" s="4"/>
      <c r="AA49" s="4" t="s">
        <v>352</v>
      </c>
      <c r="AB49" s="4"/>
      <c r="AC49" s="4">
        <v>43</v>
      </c>
      <c r="AD49" s="4"/>
      <c r="AE49" s="4" t="s">
        <v>178</v>
      </c>
      <c r="AF49" s="4">
        <v>0.23333333333333331</v>
      </c>
      <c r="AG49" s="4" t="b">
        <v>0</v>
      </c>
      <c r="AH49" s="4">
        <v>600000</v>
      </c>
      <c r="AI49" s="4" t="s">
        <v>141</v>
      </c>
      <c r="AJ49" s="4" t="s">
        <v>159</v>
      </c>
      <c r="AK49" s="4" t="s">
        <v>143</v>
      </c>
      <c r="AL49" s="4">
        <v>140000</v>
      </c>
      <c r="AM49" s="4" t="s">
        <v>144</v>
      </c>
      <c r="AN49" s="4" t="s">
        <v>127</v>
      </c>
      <c r="AO49" s="4" t="s">
        <v>128</v>
      </c>
      <c r="AP49" s="4">
        <v>1</v>
      </c>
      <c r="AQ49" s="4">
        <v>1</v>
      </c>
      <c r="AR49" s="4">
        <v>0</v>
      </c>
      <c r="AS49" s="4">
        <v>1</v>
      </c>
      <c r="AT49" s="4">
        <v>1</v>
      </c>
      <c r="AU49" s="4"/>
      <c r="AV49" s="4"/>
      <c r="AW49" s="4"/>
      <c r="AX49" s="4"/>
      <c r="AY49" s="4">
        <v>0.5</v>
      </c>
      <c r="AZ49" s="4"/>
      <c r="BA49" s="4"/>
      <c r="BB49" s="4">
        <v>1</v>
      </c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>
        <v>1</v>
      </c>
      <c r="BN49" s="4">
        <v>0</v>
      </c>
      <c r="BO49" s="4">
        <v>0</v>
      </c>
      <c r="BP49" s="4"/>
      <c r="BQ49" s="4"/>
      <c r="BR49" s="4">
        <v>0</v>
      </c>
      <c r="BS49" s="4"/>
      <c r="BT49" s="4"/>
      <c r="BU49" s="4"/>
      <c r="BV49" s="4"/>
      <c r="BW49" s="4"/>
      <c r="BX49" s="4"/>
      <c r="BY49" s="4"/>
      <c r="BZ49" s="4"/>
      <c r="CA49" s="4">
        <v>1</v>
      </c>
      <c r="CB49" s="4"/>
      <c r="CC49" s="4"/>
      <c r="CD49" s="4"/>
      <c r="CE49" s="4"/>
      <c r="CF49" s="4"/>
      <c r="CG49" s="4"/>
      <c r="CH49" s="4"/>
      <c r="CI49" s="4"/>
      <c r="CJ49" s="4"/>
      <c r="CK49" s="4"/>
    </row>
    <row r="50" spans="1:89" x14ac:dyDescent="0.25">
      <c r="A50" s="4" t="s">
        <v>353</v>
      </c>
      <c r="B50" s="4" t="s">
        <v>208</v>
      </c>
      <c r="C50" s="4"/>
      <c r="D50" s="4">
        <v>1946</v>
      </c>
      <c r="E50" s="4" t="s">
        <v>98</v>
      </c>
      <c r="F50" s="4" t="s">
        <v>99</v>
      </c>
      <c r="G50" s="4" t="s">
        <v>100</v>
      </c>
      <c r="H50" s="4">
        <v>1</v>
      </c>
      <c r="I50" s="4">
        <v>0</v>
      </c>
      <c r="J50" s="4">
        <v>69</v>
      </c>
      <c r="K50" s="4" t="s">
        <v>101</v>
      </c>
      <c r="L50" s="4" t="s">
        <v>354</v>
      </c>
      <c r="M50" s="4">
        <v>1946</v>
      </c>
      <c r="N50" s="4">
        <v>1946</v>
      </c>
      <c r="O50" s="4"/>
      <c r="P50" s="4"/>
      <c r="Q50" s="4" t="s">
        <v>174</v>
      </c>
      <c r="R50" s="4">
        <v>65000</v>
      </c>
      <c r="S50" s="4">
        <v>65000</v>
      </c>
      <c r="T50" s="4"/>
      <c r="U50" s="4"/>
      <c r="V50" s="4">
        <v>300000</v>
      </c>
      <c r="W50" s="4" t="s">
        <v>137</v>
      </c>
      <c r="X50" s="4" t="s">
        <v>260</v>
      </c>
      <c r="Y50" s="4">
        <v>3</v>
      </c>
      <c r="Z50" s="4"/>
      <c r="AA50" s="4"/>
      <c r="AB50" s="4" t="s">
        <v>355</v>
      </c>
      <c r="AC50" s="4">
        <v>53</v>
      </c>
      <c r="AD50" s="4"/>
      <c r="AE50" s="4" t="s">
        <v>178</v>
      </c>
      <c r="AF50" s="4">
        <v>0.2166666666666667</v>
      </c>
      <c r="AG50" s="4" t="b">
        <v>0</v>
      </c>
      <c r="AH50" s="4">
        <v>300000</v>
      </c>
      <c r="AI50" s="4" t="s">
        <v>110</v>
      </c>
      <c r="AJ50" s="4" t="s">
        <v>166</v>
      </c>
      <c r="AK50" s="4" t="s">
        <v>112</v>
      </c>
      <c r="AL50" s="4">
        <v>65000</v>
      </c>
      <c r="AM50" s="4" t="s">
        <v>113</v>
      </c>
      <c r="AN50" s="4" t="s">
        <v>171</v>
      </c>
      <c r="AO50" s="4" t="s">
        <v>115</v>
      </c>
      <c r="AP50" s="4">
        <v>1</v>
      </c>
      <c r="AQ50" s="4">
        <v>0</v>
      </c>
      <c r="AR50" s="4">
        <v>1</v>
      </c>
      <c r="AS50" s="4"/>
      <c r="AT50" s="4">
        <v>1</v>
      </c>
      <c r="AU50" s="4"/>
      <c r="AV50" s="4">
        <v>1</v>
      </c>
      <c r="AW50" s="4"/>
      <c r="AX50" s="4"/>
      <c r="AY50" s="4">
        <v>1</v>
      </c>
      <c r="AZ50" s="4"/>
      <c r="BA50" s="4"/>
      <c r="BB50" s="4"/>
      <c r="BC50" s="4">
        <v>1</v>
      </c>
      <c r="BD50" s="4"/>
      <c r="BE50" s="4"/>
      <c r="BF50" s="4">
        <v>1</v>
      </c>
      <c r="BG50" s="4"/>
      <c r="BH50" s="4"/>
      <c r="BI50" s="4"/>
      <c r="BJ50" s="4">
        <v>0</v>
      </c>
      <c r="BK50" s="4"/>
      <c r="BL50" s="4"/>
      <c r="BM50" s="4"/>
      <c r="BN50" s="4"/>
      <c r="BO50" s="4"/>
      <c r="BP50" s="4"/>
      <c r="BQ50" s="4">
        <v>1</v>
      </c>
      <c r="BR50" s="4"/>
      <c r="BS50" s="4">
        <v>1</v>
      </c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</row>
    <row r="51" spans="1:89" x14ac:dyDescent="0.25">
      <c r="A51" s="4" t="s">
        <v>356</v>
      </c>
      <c r="B51" s="4" t="s">
        <v>208</v>
      </c>
      <c r="C51" s="4" t="s">
        <v>226</v>
      </c>
      <c r="D51" s="4">
        <v>1989</v>
      </c>
      <c r="E51" s="4" t="s">
        <v>148</v>
      </c>
      <c r="F51" s="4" t="s">
        <v>131</v>
      </c>
      <c r="G51" s="4" t="s">
        <v>100</v>
      </c>
      <c r="H51" s="4">
        <v>2</v>
      </c>
      <c r="I51" s="4"/>
      <c r="J51" s="4">
        <v>60</v>
      </c>
      <c r="K51" s="4" t="s">
        <v>101</v>
      </c>
      <c r="L51" s="4" t="s">
        <v>199</v>
      </c>
      <c r="M51" s="4">
        <v>2024</v>
      </c>
      <c r="N51" s="4">
        <v>2024</v>
      </c>
      <c r="O51" s="4" t="s">
        <v>103</v>
      </c>
      <c r="P51" s="4">
        <v>9</v>
      </c>
      <c r="Q51" s="4" t="s">
        <v>104</v>
      </c>
      <c r="R51" s="4">
        <v>60000</v>
      </c>
      <c r="S51" s="4"/>
      <c r="T51" s="4"/>
      <c r="U51" s="4"/>
      <c r="V51" s="4">
        <v>1000000</v>
      </c>
      <c r="W51" s="4" t="s">
        <v>137</v>
      </c>
      <c r="X51" s="4" t="s">
        <v>357</v>
      </c>
      <c r="Y51" s="4">
        <v>0</v>
      </c>
      <c r="Z51" s="4"/>
      <c r="AA51" s="4" t="s">
        <v>358</v>
      </c>
      <c r="AB51" s="4"/>
      <c r="AC51" s="4">
        <v>25</v>
      </c>
      <c r="AD51" s="4"/>
      <c r="AE51" s="4" t="s">
        <v>125</v>
      </c>
      <c r="AF51" s="4">
        <v>0.06</v>
      </c>
      <c r="AG51" s="4" t="b">
        <v>0</v>
      </c>
      <c r="AH51" s="4">
        <v>500000</v>
      </c>
      <c r="AI51" s="4" t="s">
        <v>141</v>
      </c>
      <c r="AJ51" s="4" t="s">
        <v>159</v>
      </c>
      <c r="AK51" s="4" t="s">
        <v>112</v>
      </c>
      <c r="AL51" s="4">
        <v>30000</v>
      </c>
      <c r="AM51" s="4" t="s">
        <v>126</v>
      </c>
      <c r="AN51" s="4" t="s">
        <v>145</v>
      </c>
      <c r="AO51" s="4" t="s">
        <v>128</v>
      </c>
      <c r="AP51" s="4">
        <v>0</v>
      </c>
      <c r="AQ51" s="4"/>
      <c r="AR51" s="4"/>
      <c r="AS51" s="4"/>
      <c r="AT51" s="4">
        <v>0.5</v>
      </c>
      <c r="AU51" s="4">
        <v>0</v>
      </c>
      <c r="AV51" s="4"/>
      <c r="AW51" s="4"/>
      <c r="AX51" s="4"/>
      <c r="AY51" s="4"/>
      <c r="AZ51" s="4"/>
      <c r="BA51" s="4"/>
      <c r="BB51" s="4"/>
      <c r="BC51" s="4"/>
      <c r="BD51" s="4"/>
      <c r="BE51" s="4">
        <v>0</v>
      </c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>
        <v>1</v>
      </c>
      <c r="BR51" s="4"/>
      <c r="BS51" s="4"/>
      <c r="BT51" s="4"/>
      <c r="BU51" s="4"/>
      <c r="BV51" s="4"/>
      <c r="BW51" s="4"/>
      <c r="BX51" s="4"/>
      <c r="BY51" s="4">
        <v>0</v>
      </c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</row>
    <row r="52" spans="1:89" x14ac:dyDescent="0.25">
      <c r="A52" s="4" t="s">
        <v>359</v>
      </c>
      <c r="B52" s="4" t="s">
        <v>208</v>
      </c>
      <c r="C52" s="4" t="s">
        <v>226</v>
      </c>
      <c r="D52" s="4">
        <v>1994</v>
      </c>
      <c r="E52" s="4" t="s">
        <v>98</v>
      </c>
      <c r="F52" s="4" t="s">
        <v>360</v>
      </c>
      <c r="G52" s="4" t="s">
        <v>132</v>
      </c>
      <c r="H52" s="4">
        <v>4</v>
      </c>
      <c r="I52" s="4">
        <v>2</v>
      </c>
      <c r="J52" s="4">
        <v>80</v>
      </c>
      <c r="K52" s="4" t="s">
        <v>133</v>
      </c>
      <c r="L52" s="4" t="s">
        <v>193</v>
      </c>
      <c r="M52" s="4"/>
      <c r="N52" s="4">
        <v>2020</v>
      </c>
      <c r="O52" s="4" t="s">
        <v>103</v>
      </c>
      <c r="P52" s="4">
        <v>8</v>
      </c>
      <c r="Q52" s="4" t="s">
        <v>150</v>
      </c>
      <c r="R52" s="4"/>
      <c r="S52" s="4"/>
      <c r="T52" s="4"/>
      <c r="U52" s="4"/>
      <c r="V52" s="4"/>
      <c r="W52" s="4" t="s">
        <v>361</v>
      </c>
      <c r="X52" s="4" t="s">
        <v>357</v>
      </c>
      <c r="Y52" s="4">
        <v>2</v>
      </c>
      <c r="Z52" s="4"/>
      <c r="AA52" s="4"/>
      <c r="AB52" s="4"/>
      <c r="AC52" s="4">
        <v>16</v>
      </c>
      <c r="AD52" s="4" t="s">
        <v>362</v>
      </c>
      <c r="AE52" s="4" t="s">
        <v>125</v>
      </c>
      <c r="AF52" s="4"/>
      <c r="AG52" s="4"/>
      <c r="AH52" s="4"/>
      <c r="AI52" s="4" t="s">
        <v>190</v>
      </c>
      <c r="AJ52" s="4" t="s">
        <v>159</v>
      </c>
      <c r="AK52" s="4" t="s">
        <v>143</v>
      </c>
      <c r="AL52" s="4"/>
      <c r="AM52" s="4" t="s">
        <v>144</v>
      </c>
      <c r="AN52" s="4" t="s">
        <v>127</v>
      </c>
      <c r="AO52" s="4"/>
      <c r="AP52" s="4">
        <v>1</v>
      </c>
      <c r="AQ52" s="4"/>
      <c r="AR52" s="4">
        <v>1</v>
      </c>
      <c r="AS52" s="4"/>
      <c r="AT52" s="4">
        <v>0.5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>
        <v>1</v>
      </c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</row>
    <row r="53" spans="1:89" x14ac:dyDescent="0.25">
      <c r="A53" s="4" t="s">
        <v>363</v>
      </c>
      <c r="B53" s="4" t="s">
        <v>257</v>
      </c>
      <c r="C53" s="4" t="s">
        <v>147</v>
      </c>
      <c r="D53" s="4">
        <v>1957</v>
      </c>
      <c r="E53" s="4" t="s">
        <v>148</v>
      </c>
      <c r="F53" s="4" t="s">
        <v>192</v>
      </c>
      <c r="G53" s="4" t="s">
        <v>100</v>
      </c>
      <c r="H53" s="4">
        <v>2</v>
      </c>
      <c r="I53" s="4">
        <v>0</v>
      </c>
      <c r="J53" s="4">
        <v>90</v>
      </c>
      <c r="K53" s="4" t="s">
        <v>101</v>
      </c>
      <c r="L53" s="4" t="s">
        <v>364</v>
      </c>
      <c r="M53" s="4">
        <v>2015</v>
      </c>
      <c r="N53" s="4">
        <v>2015</v>
      </c>
      <c r="O53" s="4" t="s">
        <v>103</v>
      </c>
      <c r="P53" s="4">
        <v>7</v>
      </c>
      <c r="Q53" s="4" t="s">
        <v>104</v>
      </c>
      <c r="R53" s="4">
        <v>50000</v>
      </c>
      <c r="S53" s="4">
        <v>50000</v>
      </c>
      <c r="T53" s="4"/>
      <c r="U53" s="4"/>
      <c r="V53" s="4">
        <v>200000</v>
      </c>
      <c r="W53" s="4" t="s">
        <v>156</v>
      </c>
      <c r="X53" s="4" t="s">
        <v>235</v>
      </c>
      <c r="Y53" s="4">
        <v>2</v>
      </c>
      <c r="Z53" s="4"/>
      <c r="AA53" s="4" t="s">
        <v>365</v>
      </c>
      <c r="AB53" s="4" t="s">
        <v>366</v>
      </c>
      <c r="AC53" s="4">
        <v>53</v>
      </c>
      <c r="AD53" s="4" t="s">
        <v>367</v>
      </c>
      <c r="AE53" s="4" t="s">
        <v>140</v>
      </c>
      <c r="AF53" s="4">
        <v>0.25</v>
      </c>
      <c r="AG53" s="4" t="b">
        <v>0</v>
      </c>
      <c r="AH53" s="4">
        <v>100000</v>
      </c>
      <c r="AI53" s="4" t="s">
        <v>190</v>
      </c>
      <c r="AJ53" s="4" t="s">
        <v>166</v>
      </c>
      <c r="AK53" s="4" t="s">
        <v>112</v>
      </c>
      <c r="AL53" s="4">
        <v>25000</v>
      </c>
      <c r="AM53" s="4" t="s">
        <v>113</v>
      </c>
      <c r="AN53" s="4" t="s">
        <v>114</v>
      </c>
      <c r="AO53" s="4" t="s">
        <v>167</v>
      </c>
      <c r="AP53" s="4">
        <v>1</v>
      </c>
      <c r="AQ53" s="4">
        <v>0</v>
      </c>
      <c r="AR53" s="4">
        <v>0.5</v>
      </c>
      <c r="AS53" s="4"/>
      <c r="AT53" s="4">
        <v>1</v>
      </c>
      <c r="AU53" s="4"/>
      <c r="AV53" s="4">
        <v>1</v>
      </c>
      <c r="AW53" s="4"/>
      <c r="AX53" s="4"/>
      <c r="AY53" s="4">
        <v>0.5</v>
      </c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>
        <v>1</v>
      </c>
      <c r="BR53" s="4">
        <v>0</v>
      </c>
      <c r="BS53" s="4"/>
      <c r="BT53" s="4"/>
      <c r="BU53" s="4"/>
      <c r="BV53" s="4"/>
      <c r="BW53" s="4"/>
      <c r="BX53" s="4"/>
      <c r="BY53" s="4">
        <v>0.66666666666666663</v>
      </c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</row>
    <row r="54" spans="1:89" x14ac:dyDescent="0.25">
      <c r="A54" s="4" t="s">
        <v>368</v>
      </c>
      <c r="B54" s="4" t="s">
        <v>257</v>
      </c>
      <c r="C54" s="4" t="s">
        <v>226</v>
      </c>
      <c r="D54" s="4">
        <v>1969</v>
      </c>
      <c r="E54" s="4" t="s">
        <v>148</v>
      </c>
      <c r="F54" s="4" t="s">
        <v>99</v>
      </c>
      <c r="G54" s="4" t="s">
        <v>132</v>
      </c>
      <c r="H54" s="4">
        <v>1</v>
      </c>
      <c r="I54" s="4">
        <v>0</v>
      </c>
      <c r="J54" s="4">
        <v>35</v>
      </c>
      <c r="K54" s="4" t="s">
        <v>133</v>
      </c>
      <c r="L54" s="4" t="s">
        <v>369</v>
      </c>
      <c r="M54" s="4">
        <v>2024</v>
      </c>
      <c r="N54" s="4">
        <v>2025</v>
      </c>
      <c r="O54" s="4" t="s">
        <v>103</v>
      </c>
      <c r="P54" s="4">
        <v>8</v>
      </c>
      <c r="Q54" s="4" t="s">
        <v>150</v>
      </c>
      <c r="R54" s="4">
        <v>200000</v>
      </c>
      <c r="S54" s="4">
        <v>40000</v>
      </c>
      <c r="T54" s="4">
        <v>160000</v>
      </c>
      <c r="U54" s="4"/>
      <c r="V54" s="4">
        <v>400000</v>
      </c>
      <c r="W54" s="4" t="s">
        <v>156</v>
      </c>
      <c r="X54" s="4" t="s">
        <v>281</v>
      </c>
      <c r="Y54" s="4">
        <v>0</v>
      </c>
      <c r="Z54" s="4"/>
      <c r="AA54" s="4" t="s">
        <v>370</v>
      </c>
      <c r="AB54" s="4"/>
      <c r="AC54" s="4">
        <v>85</v>
      </c>
      <c r="AD54" s="4"/>
      <c r="AE54" s="4" t="s">
        <v>109</v>
      </c>
      <c r="AF54" s="4">
        <v>0.5</v>
      </c>
      <c r="AG54" s="4" t="b">
        <v>1</v>
      </c>
      <c r="AH54" s="4">
        <v>400000</v>
      </c>
      <c r="AI54" s="4" t="s">
        <v>110</v>
      </c>
      <c r="AJ54" s="4" t="s">
        <v>111</v>
      </c>
      <c r="AK54" s="4" t="s">
        <v>143</v>
      </c>
      <c r="AL54" s="4">
        <v>200000</v>
      </c>
      <c r="AM54" s="4" t="s">
        <v>144</v>
      </c>
      <c r="AN54" s="4" t="s">
        <v>145</v>
      </c>
      <c r="AO54" s="4" t="s">
        <v>128</v>
      </c>
      <c r="AP54" s="4"/>
      <c r="AQ54" s="4"/>
      <c r="AR54" s="4"/>
      <c r="AS54" s="4"/>
      <c r="AT54" s="4">
        <v>0</v>
      </c>
      <c r="AU54" s="4"/>
      <c r="AV54" s="4">
        <v>0</v>
      </c>
      <c r="AW54" s="4"/>
      <c r="AX54" s="4"/>
      <c r="AY54" s="4"/>
      <c r="AZ54" s="4"/>
      <c r="BA54" s="4">
        <v>0</v>
      </c>
      <c r="BB54" s="4">
        <v>0</v>
      </c>
      <c r="BC54" s="4"/>
      <c r="BD54" s="4"/>
      <c r="BE54" s="4">
        <v>0</v>
      </c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</row>
    <row r="55" spans="1:89" x14ac:dyDescent="0.25">
      <c r="A55" s="4" t="s">
        <v>371</v>
      </c>
      <c r="B55" s="4" t="s">
        <v>257</v>
      </c>
      <c r="C55" s="4" t="s">
        <v>180</v>
      </c>
      <c r="D55" s="4">
        <v>1981</v>
      </c>
      <c r="E55" s="4" t="s">
        <v>98</v>
      </c>
      <c r="F55" s="4" t="s">
        <v>99</v>
      </c>
      <c r="G55" s="4" t="s">
        <v>132</v>
      </c>
      <c r="H55" s="4">
        <v>1</v>
      </c>
      <c r="I55" s="4">
        <v>0</v>
      </c>
      <c r="J55" s="4">
        <v>55</v>
      </c>
      <c r="K55" s="4" t="s">
        <v>133</v>
      </c>
      <c r="L55" s="4" t="s">
        <v>372</v>
      </c>
      <c r="M55" s="4">
        <v>2022</v>
      </c>
      <c r="N55" s="4">
        <v>2025</v>
      </c>
      <c r="O55" s="4" t="s">
        <v>103</v>
      </c>
      <c r="P55" s="4">
        <v>8</v>
      </c>
      <c r="Q55" s="4" t="s">
        <v>150</v>
      </c>
      <c r="R55" s="4">
        <v>230000</v>
      </c>
      <c r="S55" s="4">
        <v>60000</v>
      </c>
      <c r="T55" s="4">
        <v>170000</v>
      </c>
      <c r="U55" s="4"/>
      <c r="V55" s="4">
        <v>450000</v>
      </c>
      <c r="W55" s="4" t="s">
        <v>105</v>
      </c>
      <c r="X55" s="4" t="s">
        <v>260</v>
      </c>
      <c r="Y55" s="4">
        <v>0</v>
      </c>
      <c r="Z55" s="4"/>
      <c r="AA55" s="4" t="s">
        <v>373</v>
      </c>
      <c r="AB55" s="4"/>
      <c r="AC55" s="4">
        <v>65</v>
      </c>
      <c r="AD55" s="4"/>
      <c r="AE55" s="4" t="s">
        <v>178</v>
      </c>
      <c r="AF55" s="4">
        <v>0.51111111111111107</v>
      </c>
      <c r="AG55" s="4" t="b">
        <v>1</v>
      </c>
      <c r="AH55" s="4">
        <v>450000</v>
      </c>
      <c r="AI55" s="4" t="s">
        <v>110</v>
      </c>
      <c r="AJ55" s="4" t="s">
        <v>159</v>
      </c>
      <c r="AK55" s="4" t="s">
        <v>143</v>
      </c>
      <c r="AL55" s="4">
        <v>230000</v>
      </c>
      <c r="AM55" s="4" t="s">
        <v>144</v>
      </c>
      <c r="AN55" s="4" t="s">
        <v>145</v>
      </c>
      <c r="AO55" s="4" t="s">
        <v>128</v>
      </c>
      <c r="AP55" s="4"/>
      <c r="AQ55" s="4"/>
      <c r="AR55" s="4">
        <v>1</v>
      </c>
      <c r="AS55" s="4"/>
      <c r="AT55" s="4">
        <v>1</v>
      </c>
      <c r="AU55" s="4">
        <v>1</v>
      </c>
      <c r="AV55" s="4">
        <v>1</v>
      </c>
      <c r="AW55" s="4"/>
      <c r="AX55" s="4"/>
      <c r="AY55" s="4">
        <v>1</v>
      </c>
      <c r="AZ55" s="4"/>
      <c r="BA55" s="4"/>
      <c r="BB55" s="4"/>
      <c r="BC55" s="4"/>
      <c r="BD55" s="4"/>
      <c r="BE55" s="4">
        <v>1</v>
      </c>
      <c r="BF55" s="4"/>
      <c r="BG55" s="4"/>
      <c r="BH55" s="4"/>
      <c r="BI55" s="4"/>
      <c r="BJ55" s="4">
        <v>1</v>
      </c>
      <c r="BK55" s="4"/>
      <c r="BL55" s="4"/>
      <c r="BM55" s="4"/>
      <c r="BN55" s="4">
        <v>0.5</v>
      </c>
      <c r="BO55" s="4"/>
      <c r="BP55" s="4">
        <v>1</v>
      </c>
      <c r="BQ55" s="4"/>
      <c r="BR55" s="4">
        <v>0</v>
      </c>
      <c r="BS55" s="4"/>
      <c r="BT55" s="4">
        <v>1</v>
      </c>
      <c r="BU55" s="4"/>
      <c r="BV55" s="4"/>
      <c r="BW55" s="4"/>
      <c r="BX55" s="4"/>
      <c r="BY55" s="4">
        <v>1</v>
      </c>
      <c r="BZ55" s="4">
        <v>0.5</v>
      </c>
      <c r="CA55" s="4">
        <v>1</v>
      </c>
      <c r="CB55" s="4"/>
      <c r="CC55" s="4"/>
      <c r="CD55" s="4"/>
      <c r="CE55" s="4"/>
      <c r="CF55" s="4"/>
      <c r="CG55" s="4"/>
      <c r="CH55" s="4"/>
      <c r="CI55" s="4"/>
      <c r="CJ55" s="4"/>
      <c r="CK55" s="4"/>
    </row>
    <row r="56" spans="1:89" x14ac:dyDescent="0.25">
      <c r="A56" s="4" t="s">
        <v>374</v>
      </c>
      <c r="B56" s="4" t="s">
        <v>257</v>
      </c>
      <c r="C56" s="4" t="s">
        <v>180</v>
      </c>
      <c r="D56" s="4">
        <v>1982</v>
      </c>
      <c r="E56" s="4" t="s">
        <v>98</v>
      </c>
      <c r="F56" s="4" t="s">
        <v>99</v>
      </c>
      <c r="G56" s="4" t="s">
        <v>100</v>
      </c>
      <c r="H56" s="4">
        <v>1</v>
      </c>
      <c r="I56" s="4">
        <v>0</v>
      </c>
      <c r="J56" s="4">
        <v>49</v>
      </c>
      <c r="K56" s="4" t="s">
        <v>133</v>
      </c>
      <c r="L56" s="4" t="s">
        <v>375</v>
      </c>
      <c r="M56" s="4">
        <v>2008</v>
      </c>
      <c r="N56" s="4">
        <v>2008</v>
      </c>
      <c r="O56" s="4"/>
      <c r="P56" s="4"/>
      <c r="Q56" s="4"/>
      <c r="R56" s="4">
        <v>25000</v>
      </c>
      <c r="S56" s="4">
        <v>25000</v>
      </c>
      <c r="T56" s="4"/>
      <c r="U56" s="4"/>
      <c r="V56" s="4">
        <v>850000</v>
      </c>
      <c r="W56" s="4" t="s">
        <v>137</v>
      </c>
      <c r="X56" s="4" t="s">
        <v>260</v>
      </c>
      <c r="Y56" s="4">
        <v>2</v>
      </c>
      <c r="Z56" s="4"/>
      <c r="AA56" s="4" t="s">
        <v>376</v>
      </c>
      <c r="AB56" s="4"/>
      <c r="AC56" s="4">
        <v>21</v>
      </c>
      <c r="AD56" s="4"/>
      <c r="AE56" s="4" t="s">
        <v>178</v>
      </c>
      <c r="AF56" s="4">
        <v>2.9411764705882349E-2</v>
      </c>
      <c r="AG56" s="4" t="b">
        <v>0</v>
      </c>
      <c r="AH56" s="4">
        <v>850000</v>
      </c>
      <c r="AI56" s="4" t="s">
        <v>110</v>
      </c>
      <c r="AJ56" s="4" t="s">
        <v>159</v>
      </c>
      <c r="AK56" s="4" t="s">
        <v>112</v>
      </c>
      <c r="AL56" s="4">
        <v>25000</v>
      </c>
      <c r="AM56" s="4" t="s">
        <v>126</v>
      </c>
      <c r="AN56" s="4" t="s">
        <v>114</v>
      </c>
      <c r="AO56" s="4" t="s">
        <v>128</v>
      </c>
      <c r="AP56" s="4">
        <v>1</v>
      </c>
      <c r="AQ56" s="4">
        <v>1</v>
      </c>
      <c r="AR56" s="4">
        <v>1</v>
      </c>
      <c r="AS56" s="4"/>
      <c r="AT56" s="4">
        <v>1</v>
      </c>
      <c r="AU56" s="4"/>
      <c r="AV56" s="4"/>
      <c r="AW56" s="4"/>
      <c r="AX56" s="4"/>
      <c r="AY56" s="4"/>
      <c r="AZ56" s="4"/>
      <c r="BA56" s="4">
        <v>1</v>
      </c>
      <c r="BB56" s="4">
        <v>0</v>
      </c>
      <c r="BC56" s="4"/>
      <c r="BD56" s="4">
        <v>1</v>
      </c>
      <c r="BE56" s="4">
        <v>1</v>
      </c>
      <c r="BF56" s="4"/>
      <c r="BG56" s="4"/>
      <c r="BH56" s="4"/>
      <c r="BI56" s="4"/>
      <c r="BJ56" s="4">
        <v>1</v>
      </c>
      <c r="BK56" s="4"/>
      <c r="BL56" s="4"/>
      <c r="BM56" s="4"/>
      <c r="BN56" s="4">
        <v>1</v>
      </c>
      <c r="BO56" s="4"/>
      <c r="BP56" s="4"/>
      <c r="BQ56" s="4">
        <v>1</v>
      </c>
      <c r="BR56" s="4">
        <v>0</v>
      </c>
      <c r="BS56" s="4"/>
      <c r="BT56" s="4">
        <v>1</v>
      </c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>
        <v>0.5</v>
      </c>
      <c r="CG56" s="4"/>
      <c r="CH56" s="4"/>
      <c r="CI56" s="4">
        <v>1</v>
      </c>
      <c r="CJ56" s="4"/>
      <c r="CK56" s="4">
        <v>1</v>
      </c>
    </row>
    <row r="57" spans="1:89" x14ac:dyDescent="0.25">
      <c r="A57" s="4" t="s">
        <v>377</v>
      </c>
      <c r="B57" s="4" t="s">
        <v>257</v>
      </c>
      <c r="C57" s="4" t="s">
        <v>180</v>
      </c>
      <c r="D57" s="4">
        <v>1959</v>
      </c>
      <c r="E57" s="4" t="s">
        <v>98</v>
      </c>
      <c r="F57" s="4" t="s">
        <v>186</v>
      </c>
      <c r="G57" s="4" t="s">
        <v>100</v>
      </c>
      <c r="H57" s="4">
        <v>2</v>
      </c>
      <c r="I57" s="4">
        <v>0</v>
      </c>
      <c r="J57" s="4">
        <v>40</v>
      </c>
      <c r="K57" s="4" t="s">
        <v>133</v>
      </c>
      <c r="L57" s="4" t="s">
        <v>378</v>
      </c>
      <c r="M57" s="4">
        <v>1993</v>
      </c>
      <c r="N57" s="4">
        <v>1993</v>
      </c>
      <c r="O57" s="4" t="s">
        <v>103</v>
      </c>
      <c r="P57" s="4">
        <v>13</v>
      </c>
      <c r="Q57" s="4" t="s">
        <v>104</v>
      </c>
      <c r="R57" s="4">
        <v>50000</v>
      </c>
      <c r="S57" s="4">
        <v>30000</v>
      </c>
      <c r="T57" s="4"/>
      <c r="U57" s="4"/>
      <c r="V57" s="4">
        <v>250000</v>
      </c>
      <c r="W57" s="4" t="s">
        <v>137</v>
      </c>
      <c r="X57" s="4" t="s">
        <v>243</v>
      </c>
      <c r="Y57" s="4">
        <v>2</v>
      </c>
      <c r="Z57" s="4"/>
      <c r="AA57" s="4" t="s">
        <v>379</v>
      </c>
      <c r="AB57" s="4" t="s">
        <v>380</v>
      </c>
      <c r="AC57" s="4">
        <v>46</v>
      </c>
      <c r="AD57" s="4"/>
      <c r="AE57" s="4" t="s">
        <v>125</v>
      </c>
      <c r="AF57" s="4">
        <v>0.2</v>
      </c>
      <c r="AG57" s="4" t="b">
        <v>0</v>
      </c>
      <c r="AH57" s="4">
        <v>125000</v>
      </c>
      <c r="AI57" s="4" t="s">
        <v>190</v>
      </c>
      <c r="AJ57" s="4" t="s">
        <v>166</v>
      </c>
      <c r="AK57" s="4" t="s">
        <v>112</v>
      </c>
      <c r="AL57" s="4">
        <v>25000</v>
      </c>
      <c r="AM57" s="4" t="s">
        <v>113</v>
      </c>
      <c r="AN57" s="4" t="s">
        <v>114</v>
      </c>
      <c r="AO57" s="4" t="s">
        <v>167</v>
      </c>
      <c r="AP57" s="4"/>
      <c r="AQ57" s="4"/>
      <c r="AR57" s="4"/>
      <c r="AS57" s="4">
        <v>0</v>
      </c>
      <c r="AT57" s="4">
        <v>0</v>
      </c>
      <c r="AU57" s="4"/>
      <c r="AV57" s="4">
        <v>0</v>
      </c>
      <c r="AW57" s="4">
        <v>0.5</v>
      </c>
      <c r="AX57" s="4"/>
      <c r="AY57" s="4"/>
      <c r="AZ57" s="4"/>
      <c r="BA57" s="4">
        <v>1</v>
      </c>
      <c r="BB57" s="4"/>
      <c r="BC57" s="4"/>
      <c r="BD57" s="4"/>
      <c r="BE57" s="4"/>
      <c r="BF57" s="4"/>
      <c r="BG57" s="4">
        <v>0</v>
      </c>
      <c r="BH57" s="4">
        <v>0</v>
      </c>
      <c r="BI57" s="4"/>
      <c r="BJ57" s="4">
        <v>1</v>
      </c>
      <c r="BK57" s="4"/>
      <c r="BL57" s="4"/>
      <c r="BM57" s="4"/>
      <c r="BN57" s="4">
        <v>0</v>
      </c>
      <c r="BO57" s="4">
        <v>0</v>
      </c>
      <c r="BP57" s="4">
        <v>1</v>
      </c>
      <c r="BQ57" s="4">
        <v>0</v>
      </c>
      <c r="BR57" s="4">
        <v>0</v>
      </c>
      <c r="BS57" s="4"/>
      <c r="BT57" s="4"/>
      <c r="BU57" s="4"/>
      <c r="BV57" s="4"/>
      <c r="BW57" s="4"/>
      <c r="BX57" s="4"/>
      <c r="BY57" s="4"/>
      <c r="BZ57" s="4"/>
      <c r="CA57" s="4">
        <v>0</v>
      </c>
      <c r="CB57" s="4">
        <v>0.5</v>
      </c>
      <c r="CC57" s="4"/>
      <c r="CD57" s="4"/>
      <c r="CE57" s="4"/>
      <c r="CF57" s="4">
        <v>0</v>
      </c>
      <c r="CG57" s="4"/>
      <c r="CH57" s="4"/>
      <c r="CI57" s="4">
        <v>1</v>
      </c>
      <c r="CJ57" s="4"/>
      <c r="CK57" s="4"/>
    </row>
  </sheetData>
  <autoFilter ref="A1:C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workbookViewId="0">
      <selection sqref="A1:A1048576"/>
    </sheetView>
  </sheetViews>
  <sheetFormatPr defaultRowHeight="15" x14ac:dyDescent="0.25"/>
  <cols>
    <col min="1" max="1" width="31" style="19" bestFit="1" customWidth="1"/>
    <col min="2" max="2" width="47.28515625" bestFit="1" customWidth="1"/>
    <col min="3" max="3" width="75.85546875" hidden="1" customWidth="1"/>
    <col min="4" max="4" width="9.28515625" bestFit="1" customWidth="1"/>
    <col min="8" max="8" width="15.5703125" bestFit="1" customWidth="1"/>
    <col min="9" max="9" width="10.7109375" bestFit="1" customWidth="1"/>
  </cols>
  <sheetData>
    <row r="1" spans="1:9" x14ac:dyDescent="0.25">
      <c r="A1" s="20" t="s">
        <v>382</v>
      </c>
      <c r="B1" s="2" t="s">
        <v>381</v>
      </c>
      <c r="C1" s="2" t="s">
        <v>383</v>
      </c>
      <c r="D1" s="2" t="s">
        <v>449</v>
      </c>
      <c r="E1" s="2" t="s">
        <v>148</v>
      </c>
      <c r="F1" s="2" t="s">
        <v>98</v>
      </c>
      <c r="G1" s="2" t="s">
        <v>113</v>
      </c>
      <c r="H1" s="2" t="s">
        <v>126</v>
      </c>
      <c r="I1" s="2" t="s">
        <v>144</v>
      </c>
    </row>
    <row r="2" spans="1:9" x14ac:dyDescent="0.25">
      <c r="A2" s="21" t="s">
        <v>385</v>
      </c>
      <c r="B2" t="s">
        <v>384</v>
      </c>
      <c r="C2" s="1" t="s">
        <v>58</v>
      </c>
      <c r="D2">
        <f>SUMPRODUCT((INDEX(final_df!$B$2:$ZZ$100,,MATCH(C2,final_df!$B$1:$ZZ$1,0))&gt;0)*1)</f>
        <v>23</v>
      </c>
      <c r="E2" s="4">
        <f>SUMPRODUCT((INDEX(final_df!$B$2:$ZZ$100,,MATCH($C2,final_df!$B$1:$ZZ$1,0))&gt;0)*(final_df!$E$2:$E$100=E$1))</f>
        <v>16</v>
      </c>
      <c r="F2" s="4">
        <f>SUMPRODUCT((INDEX(final_df!$B$2:$ZZ$100,,MATCH($C2,final_df!$B$1:$ZZ$1,0))&gt;0)*(final_df!$E$2:$E$100=F$1))</f>
        <v>7</v>
      </c>
      <c r="G2">
        <f>SUMPRODUCT((INDEX(final_df!$B$2:$ZZ$100,,MATCH($C2,final_df!$B$1:$ZZ$1,0))&gt;0)*(final_df!$AM$2:$AM$100=G$1))</f>
        <v>3</v>
      </c>
      <c r="H2" s="4">
        <f>SUMPRODUCT((INDEX(final_df!$B$2:$ZZ$100,,MATCH($C2,final_df!$B$1:$ZZ$1,0))&gt;0)*(final_df!$AM$2:$AM$100=H$1))</f>
        <v>12</v>
      </c>
      <c r="I2" s="4">
        <f>SUMPRODUCT((INDEX(final_df!$B$2:$ZZ$100,,MATCH($C2,final_df!$B$1:$ZZ$1,0))&gt;0)*(final_df!$AM$2:$AM$100=I$1))</f>
        <v>8</v>
      </c>
    </row>
    <row r="3" spans="1:9" x14ac:dyDescent="0.25">
      <c r="A3" s="21"/>
      <c r="B3" t="s">
        <v>388</v>
      </c>
      <c r="C3" s="1" t="s">
        <v>41</v>
      </c>
      <c r="D3" s="4">
        <f>SUMPRODUCT((INDEX(final_df!$B$2:$ZZ$100,,MATCH(C3,final_df!$B$1:$ZZ$1,0))&gt;0)*1)</f>
        <v>28</v>
      </c>
      <c r="E3" s="4">
        <f>SUMPRODUCT((INDEX(final_df!$B$2:$ZZ$100,,MATCH($C3,final_df!$B$1:$ZZ$1,0))&gt;0)*(final_df!$E$2:$E$100=E$1))</f>
        <v>8</v>
      </c>
      <c r="F3" s="4">
        <f>SUMPRODUCT((INDEX(final_df!$B$2:$ZZ$100,,MATCH($C3,final_df!$B$1:$ZZ$1,0))&gt;0)*(final_df!$E$2:$E$100=F$1))</f>
        <v>20</v>
      </c>
      <c r="G3" s="4">
        <f>SUMPRODUCT((INDEX(final_df!$B$2:$ZZ$100,,MATCH($C3,final_df!$B$1:$ZZ$1,0))&gt;0)*(final_df!$AM$2:$AM$100=G$1))</f>
        <v>11</v>
      </c>
      <c r="H3" s="4">
        <f>SUMPRODUCT((INDEX(final_df!$B$2:$ZZ$100,,MATCH($C3,final_df!$B$1:$ZZ$1,0))&gt;0)*(final_df!$AM$2:$AM$100=H$1))</f>
        <v>6</v>
      </c>
      <c r="I3" s="4">
        <f>SUMPRODUCT((INDEX(final_df!$B$2:$ZZ$100,,MATCH($C3,final_df!$B$1:$ZZ$1,0))&gt;0)*(final_df!$AM$2:$AM$100=I$1))</f>
        <v>11</v>
      </c>
    </row>
    <row r="4" spans="1:9" x14ac:dyDescent="0.25">
      <c r="A4" s="21"/>
      <c r="B4" s="4" t="s">
        <v>386</v>
      </c>
      <c r="C4" s="1" t="s">
        <v>59</v>
      </c>
      <c r="D4" s="4">
        <f>SUMPRODUCT((INDEX(final_df!$B$2:$ZZ$100,,MATCH(C4,final_df!$B$1:$ZZ$1,0))&gt;0)*1)</f>
        <v>4</v>
      </c>
      <c r="E4" s="4">
        <f>SUMPRODUCT((INDEX(final_df!$B$2:$ZZ$100,,MATCH($C4,final_df!$B$1:$ZZ$1,0))&gt;0)*(final_df!$E$2:$E$100=E$1))</f>
        <v>2</v>
      </c>
      <c r="F4" s="4">
        <f>SUMPRODUCT((INDEX(final_df!$B$2:$ZZ$100,,MATCH($C4,final_df!$B$1:$ZZ$1,0))&gt;0)*(final_df!$E$2:$E$100=F$1))</f>
        <v>2</v>
      </c>
      <c r="G4" s="4">
        <f>SUMPRODUCT((INDEX(final_df!$B$2:$ZZ$100,,MATCH($C4,final_df!$B$1:$ZZ$1,0))&gt;0)*(final_df!$AM$2:$AM$100=G$1))</f>
        <v>0</v>
      </c>
      <c r="H4" s="4">
        <f>SUMPRODUCT((INDEX(final_df!$B$2:$ZZ$100,,MATCH($C4,final_df!$B$1:$ZZ$1,0))&gt;0)*(final_df!$AM$2:$AM$100=H$1))</f>
        <v>3</v>
      </c>
      <c r="I4" s="4">
        <f>SUMPRODUCT((INDEX(final_df!$B$2:$ZZ$100,,MATCH($C4,final_df!$B$1:$ZZ$1,0))&gt;0)*(final_df!$AM$2:$AM$100=I$1))</f>
        <v>1</v>
      </c>
    </row>
    <row r="5" spans="1:9" x14ac:dyDescent="0.25">
      <c r="A5" s="21"/>
      <c r="B5" t="s">
        <v>387</v>
      </c>
      <c r="C5" s="1" t="s">
        <v>84</v>
      </c>
      <c r="D5" s="4">
        <f>SUMPRODUCT((INDEX(final_df!$B$2:$ZZ$100,,MATCH(C5,final_df!$B$1:$ZZ$1,0))&gt;0)*1)</f>
        <v>15</v>
      </c>
      <c r="E5" s="4">
        <f>SUMPRODUCT((INDEX(final_df!$B$2:$ZZ$100,,MATCH($C5,final_df!$B$1:$ZZ$1,0))&gt;0)*(final_df!$E$2:$E$100=E$1))</f>
        <v>9</v>
      </c>
      <c r="F5" s="4">
        <f>SUMPRODUCT((INDEX(final_df!$B$2:$ZZ$100,,MATCH($C5,final_df!$B$1:$ZZ$1,0))&gt;0)*(final_df!$E$2:$E$100=F$1))</f>
        <v>6</v>
      </c>
      <c r="G5" s="4">
        <f>SUMPRODUCT((INDEX(final_df!$B$2:$ZZ$100,,MATCH($C5,final_df!$B$1:$ZZ$1,0))&gt;0)*(final_df!$AM$2:$AM$100=G$1))</f>
        <v>3</v>
      </c>
      <c r="H5" s="4">
        <f>SUMPRODUCT((INDEX(final_df!$B$2:$ZZ$100,,MATCH($C5,final_df!$B$1:$ZZ$1,0))&gt;0)*(final_df!$AM$2:$AM$100=H$1))</f>
        <v>7</v>
      </c>
      <c r="I5" s="4">
        <f>SUMPRODUCT((INDEX(final_df!$B$2:$ZZ$100,,MATCH($C5,final_df!$B$1:$ZZ$1,0))&gt;0)*(final_df!$AM$2:$AM$100=I$1))</f>
        <v>5</v>
      </c>
    </row>
    <row r="6" spans="1:9" x14ac:dyDescent="0.25">
      <c r="A6" s="21" t="s">
        <v>432</v>
      </c>
      <c r="B6" t="s">
        <v>433</v>
      </c>
      <c r="C6" s="1" t="s">
        <v>85</v>
      </c>
      <c r="D6" s="4">
        <f>SUMPRODUCT((INDEX(final_df!$B$2:$ZZ$100,,MATCH(C6,final_df!$B$1:$ZZ$1,0))&gt;0)*1)</f>
        <v>29</v>
      </c>
      <c r="E6" s="4">
        <f>SUMPRODUCT((INDEX(final_df!$B$2:$ZZ$100,,MATCH($C6,final_df!$B$1:$ZZ$1,0))&gt;0)*(final_df!$E$2:$E$100=E$1))</f>
        <v>15</v>
      </c>
      <c r="F6" s="4">
        <f>SUMPRODUCT((INDEX(final_df!$B$2:$ZZ$100,,MATCH($C6,final_df!$B$1:$ZZ$1,0))&gt;0)*(final_df!$E$2:$E$100=F$1))</f>
        <v>14</v>
      </c>
      <c r="G6" s="4">
        <f>SUMPRODUCT((INDEX(final_df!$B$2:$ZZ$100,,MATCH($C6,final_df!$B$1:$ZZ$1,0))&gt;0)*(final_df!$AM$2:$AM$100=G$1))</f>
        <v>9</v>
      </c>
      <c r="H6" s="4">
        <f>SUMPRODUCT((INDEX(final_df!$B$2:$ZZ$100,,MATCH($C6,final_df!$B$1:$ZZ$1,0))&gt;0)*(final_df!$AM$2:$AM$100=H$1))</f>
        <v>12</v>
      </c>
      <c r="I6" s="4">
        <f>SUMPRODUCT((INDEX(final_df!$B$2:$ZZ$100,,MATCH($C6,final_df!$B$1:$ZZ$1,0))&gt;0)*(final_df!$AM$2:$AM$100=I$1))</f>
        <v>8</v>
      </c>
    </row>
    <row r="7" spans="1:9" x14ac:dyDescent="0.25">
      <c r="A7" s="21"/>
      <c r="B7" t="s">
        <v>431</v>
      </c>
      <c r="C7" s="1" t="s">
        <v>60</v>
      </c>
      <c r="D7" s="4">
        <f>SUMPRODUCT((INDEX(final_df!$B$2:$ZZ$100,,MATCH(C7,final_df!$B$1:$ZZ$1,0))&gt;0)*1)</f>
        <v>36</v>
      </c>
      <c r="E7" s="4">
        <f>SUMPRODUCT((INDEX(final_df!$B$2:$ZZ$100,,MATCH($C7,final_df!$B$1:$ZZ$1,0))&gt;0)*(final_df!$E$2:$E$100=E$1))</f>
        <v>18</v>
      </c>
      <c r="F7" s="4">
        <f>SUMPRODUCT((INDEX(final_df!$B$2:$ZZ$100,,MATCH($C7,final_df!$B$1:$ZZ$1,0))&gt;0)*(final_df!$E$2:$E$100=F$1))</f>
        <v>18</v>
      </c>
      <c r="G7" s="4">
        <f>SUMPRODUCT((INDEX(final_df!$B$2:$ZZ$100,,MATCH($C7,final_df!$B$1:$ZZ$1,0))&gt;0)*(final_df!$AM$2:$AM$100=G$1))</f>
        <v>12</v>
      </c>
      <c r="H7" s="4">
        <f>SUMPRODUCT((INDEX(final_df!$B$2:$ZZ$100,,MATCH($C7,final_df!$B$1:$ZZ$1,0))&gt;0)*(final_df!$AM$2:$AM$100=H$1))</f>
        <v>14</v>
      </c>
      <c r="I7" s="4">
        <f>SUMPRODUCT((INDEX(final_df!$B$2:$ZZ$100,,MATCH($C7,final_df!$B$1:$ZZ$1,0))&gt;0)*(final_df!$AM$2:$AM$100=I$1))</f>
        <v>10</v>
      </c>
    </row>
    <row r="8" spans="1:9" x14ac:dyDescent="0.25">
      <c r="A8" s="21" t="s">
        <v>413</v>
      </c>
      <c r="B8" t="s">
        <v>412</v>
      </c>
      <c r="C8" s="1" t="s">
        <v>63</v>
      </c>
      <c r="D8" s="4">
        <f>SUMPRODUCT((INDEX(final_df!$B$2:$ZZ$100,,MATCH(C8,final_df!$B$1:$ZZ$1,0))&gt;0)*1)</f>
        <v>14</v>
      </c>
      <c r="E8" s="4">
        <f>SUMPRODUCT((INDEX(final_df!$B$2:$ZZ$100,,MATCH($C8,final_df!$B$1:$ZZ$1,0))&gt;0)*(final_df!$E$2:$E$100=E$1))</f>
        <v>7</v>
      </c>
      <c r="F8" s="4">
        <f>SUMPRODUCT((INDEX(final_df!$B$2:$ZZ$100,,MATCH($C8,final_df!$B$1:$ZZ$1,0))&gt;0)*(final_df!$E$2:$E$100=F$1))</f>
        <v>7</v>
      </c>
      <c r="G8" s="4">
        <f>SUMPRODUCT((INDEX(final_df!$B$2:$ZZ$100,,MATCH($C8,final_df!$B$1:$ZZ$1,0))&gt;0)*(final_df!$AM$2:$AM$100=G$1))</f>
        <v>7</v>
      </c>
      <c r="H8" s="4">
        <f>SUMPRODUCT((INDEX(final_df!$B$2:$ZZ$100,,MATCH($C8,final_df!$B$1:$ZZ$1,0))&gt;0)*(final_df!$AM$2:$AM$100=H$1))</f>
        <v>6</v>
      </c>
      <c r="I8" s="4">
        <f>SUMPRODUCT((INDEX(final_df!$B$2:$ZZ$100,,MATCH($C8,final_df!$B$1:$ZZ$1,0))&gt;0)*(final_df!$AM$2:$AM$100=I$1))</f>
        <v>1</v>
      </c>
    </row>
    <row r="9" spans="1:9" x14ac:dyDescent="0.25">
      <c r="A9" s="21"/>
      <c r="B9" t="s">
        <v>415</v>
      </c>
      <c r="C9" s="1" t="s">
        <v>94</v>
      </c>
      <c r="D9" s="4">
        <f>SUMPRODUCT((INDEX(final_df!$B$2:$ZZ$100,,MATCH(C9,final_df!$B$1:$ZZ$1,0))&gt;0)*1)</f>
        <v>5</v>
      </c>
      <c r="E9" s="4">
        <f>SUMPRODUCT((INDEX(final_df!$B$2:$ZZ$100,,MATCH($C9,final_df!$B$1:$ZZ$1,0))&gt;0)*(final_df!$E$2:$E$100=E$1))</f>
        <v>1</v>
      </c>
      <c r="F9" s="4">
        <f>SUMPRODUCT((INDEX(final_df!$B$2:$ZZ$100,,MATCH($C9,final_df!$B$1:$ZZ$1,0))&gt;0)*(final_df!$E$2:$E$100=F$1))</f>
        <v>4</v>
      </c>
      <c r="G9" s="4">
        <f>SUMPRODUCT((INDEX(final_df!$B$2:$ZZ$100,,MATCH($C9,final_df!$B$1:$ZZ$1,0))&gt;0)*(final_df!$AM$2:$AM$100=G$1))</f>
        <v>3</v>
      </c>
      <c r="H9" s="4">
        <f>SUMPRODUCT((INDEX(final_df!$B$2:$ZZ$100,,MATCH($C9,final_df!$B$1:$ZZ$1,0))&gt;0)*(final_df!$AM$2:$AM$100=H$1))</f>
        <v>2</v>
      </c>
      <c r="I9" s="4">
        <f>SUMPRODUCT((INDEX(final_df!$B$2:$ZZ$100,,MATCH($C9,final_df!$B$1:$ZZ$1,0))&gt;0)*(final_df!$AM$2:$AM$100=I$1))</f>
        <v>0</v>
      </c>
    </row>
    <row r="10" spans="1:9" x14ac:dyDescent="0.25">
      <c r="A10" s="21"/>
      <c r="B10" t="s">
        <v>426</v>
      </c>
      <c r="C10" s="1" t="s">
        <v>61</v>
      </c>
      <c r="D10" s="4">
        <f>SUMPRODUCT((INDEX(final_df!$B$2:$ZZ$100,,MATCH(C10,final_df!$B$1:$ZZ$1,0))&gt;0)*1)</f>
        <v>15</v>
      </c>
      <c r="E10" s="4">
        <f>SUMPRODUCT((INDEX(final_df!$B$2:$ZZ$100,,MATCH($C10,final_df!$B$1:$ZZ$1,0))&gt;0)*(final_df!$E$2:$E$100=E$1))</f>
        <v>9</v>
      </c>
      <c r="F10" s="4">
        <f>SUMPRODUCT((INDEX(final_df!$B$2:$ZZ$100,,MATCH($C10,final_df!$B$1:$ZZ$1,0))&gt;0)*(final_df!$E$2:$E$100=F$1))</f>
        <v>6</v>
      </c>
      <c r="G10" s="4">
        <f>SUMPRODUCT((INDEX(final_df!$B$2:$ZZ$100,,MATCH($C10,final_df!$B$1:$ZZ$1,0))&gt;0)*(final_df!$AM$2:$AM$100=G$1))</f>
        <v>4</v>
      </c>
      <c r="H10" s="4">
        <f>SUMPRODUCT((INDEX(final_df!$B$2:$ZZ$100,,MATCH($C10,final_df!$B$1:$ZZ$1,0))&gt;0)*(final_df!$AM$2:$AM$100=H$1))</f>
        <v>7</v>
      </c>
      <c r="I10" s="4">
        <f>SUMPRODUCT((INDEX(final_df!$B$2:$ZZ$100,,MATCH($C10,final_df!$B$1:$ZZ$1,0))&gt;0)*(final_df!$AM$2:$AM$100=I$1))</f>
        <v>4</v>
      </c>
    </row>
    <row r="11" spans="1:9" x14ac:dyDescent="0.25">
      <c r="A11" s="21"/>
      <c r="B11" t="s">
        <v>414</v>
      </c>
      <c r="C11" s="1" t="s">
        <v>91</v>
      </c>
      <c r="D11" s="4">
        <f>SUMPRODUCT((INDEX(final_df!$B$2:$ZZ$100,,MATCH(C11,final_df!$B$1:$ZZ$1,0))&gt;0)*1)</f>
        <v>8</v>
      </c>
      <c r="E11" s="4">
        <f>SUMPRODUCT((INDEX(final_df!$B$2:$ZZ$100,,MATCH($C11,final_df!$B$1:$ZZ$1,0))&gt;0)*(final_df!$E$2:$E$100=E$1))</f>
        <v>5</v>
      </c>
      <c r="F11" s="4">
        <f>SUMPRODUCT((INDEX(final_df!$B$2:$ZZ$100,,MATCH($C11,final_df!$B$1:$ZZ$1,0))&gt;0)*(final_df!$E$2:$E$100=F$1))</f>
        <v>3</v>
      </c>
      <c r="G11" s="4">
        <f>SUMPRODUCT((INDEX(final_df!$B$2:$ZZ$100,,MATCH($C11,final_df!$B$1:$ZZ$1,0))&gt;0)*(final_df!$AM$2:$AM$100=G$1))</f>
        <v>2</v>
      </c>
      <c r="H11" s="4">
        <f>SUMPRODUCT((INDEX(final_df!$B$2:$ZZ$100,,MATCH($C11,final_df!$B$1:$ZZ$1,0))&gt;0)*(final_df!$AM$2:$AM$100=H$1))</f>
        <v>2</v>
      </c>
      <c r="I11" s="4">
        <f>SUMPRODUCT((INDEX(final_df!$B$2:$ZZ$100,,MATCH($C11,final_df!$B$1:$ZZ$1,0))&gt;0)*(final_df!$AM$2:$AM$100=I$1))</f>
        <v>4</v>
      </c>
    </row>
    <row r="12" spans="1:9" x14ac:dyDescent="0.25">
      <c r="A12" s="21"/>
      <c r="B12" t="s">
        <v>428</v>
      </c>
      <c r="C12" s="1" t="s">
        <v>62</v>
      </c>
      <c r="D12" s="4">
        <f>SUMPRODUCT((INDEX(final_df!$B$2:$ZZ$100,,MATCH(C12,final_df!$B$1:$ZZ$1,0))&gt;0)*1)</f>
        <v>29</v>
      </c>
      <c r="E12" s="4">
        <f>SUMPRODUCT((INDEX(final_df!$B$2:$ZZ$100,,MATCH($C12,final_df!$B$1:$ZZ$1,0))&gt;0)*(final_df!$E$2:$E$100=E$1))</f>
        <v>16</v>
      </c>
      <c r="F12" s="4">
        <f>SUMPRODUCT((INDEX(final_df!$B$2:$ZZ$100,,MATCH($C12,final_df!$B$1:$ZZ$1,0))&gt;0)*(final_df!$E$2:$E$100=F$1))</f>
        <v>13</v>
      </c>
      <c r="G12" s="4">
        <f>SUMPRODUCT((INDEX(final_df!$B$2:$ZZ$100,,MATCH($C12,final_df!$B$1:$ZZ$1,0))&gt;0)*(final_df!$AM$2:$AM$100=G$1))</f>
        <v>8</v>
      </c>
      <c r="H12" s="4">
        <f>SUMPRODUCT((INDEX(final_df!$B$2:$ZZ$100,,MATCH($C12,final_df!$B$1:$ZZ$1,0))&gt;0)*(final_df!$AM$2:$AM$100=H$1))</f>
        <v>10</v>
      </c>
      <c r="I12" s="4">
        <f>SUMPRODUCT((INDEX(final_df!$B$2:$ZZ$100,,MATCH($C12,final_df!$B$1:$ZZ$1,0))&gt;0)*(final_df!$AM$2:$AM$100=I$1))</f>
        <v>11</v>
      </c>
    </row>
    <row r="13" spans="1:9" x14ac:dyDescent="0.25">
      <c r="A13" s="19" t="s">
        <v>406</v>
      </c>
      <c r="B13" t="s">
        <v>406</v>
      </c>
      <c r="C13" s="1" t="s">
        <v>64</v>
      </c>
      <c r="D13" s="4">
        <f>SUMPRODUCT((INDEX(final_df!$B$2:$ZZ$100,,MATCH(C13,final_df!$B$1:$ZZ$1,0))&gt;0)*1)</f>
        <v>31</v>
      </c>
      <c r="E13" s="4">
        <f>SUMPRODUCT((INDEX(final_df!$B$2:$ZZ$100,,MATCH($C13,final_df!$B$1:$ZZ$1,0))&gt;0)*(final_df!$E$2:$E$100=E$1))</f>
        <v>14</v>
      </c>
      <c r="F13" s="4">
        <f>SUMPRODUCT((INDEX(final_df!$B$2:$ZZ$100,,MATCH($C13,final_df!$B$1:$ZZ$1,0))&gt;0)*(final_df!$E$2:$E$100=F$1))</f>
        <v>17</v>
      </c>
      <c r="G13" s="4">
        <f>SUMPRODUCT((INDEX(final_df!$B$2:$ZZ$100,,MATCH($C13,final_df!$B$1:$ZZ$1,0))&gt;0)*(final_df!$AM$2:$AM$100=G$1))</f>
        <v>5</v>
      </c>
      <c r="H13" s="4">
        <f>SUMPRODUCT((INDEX(final_df!$B$2:$ZZ$100,,MATCH($C13,final_df!$B$1:$ZZ$1,0))&gt;0)*(final_df!$AM$2:$AM$100=H$1))</f>
        <v>13</v>
      </c>
      <c r="I13" s="4">
        <f>SUMPRODUCT((INDEX(final_df!$B$2:$ZZ$100,,MATCH($C13,final_df!$B$1:$ZZ$1,0))&gt;0)*(final_df!$AM$2:$AM$100=I$1))</f>
        <v>13</v>
      </c>
    </row>
    <row r="14" spans="1:9" x14ac:dyDescent="0.25">
      <c r="A14" s="21" t="s">
        <v>421</v>
      </c>
      <c r="B14" t="s">
        <v>420</v>
      </c>
      <c r="C14" s="1" t="s">
        <v>65</v>
      </c>
      <c r="D14" s="4">
        <f>SUMPRODUCT((INDEX(final_df!$B$2:$ZZ$100,,MATCH(C14,final_df!$B$1:$ZZ$1,0))&gt;0)*1)</f>
        <v>10</v>
      </c>
      <c r="E14" s="4">
        <f>SUMPRODUCT((INDEX(final_df!$B$2:$ZZ$100,,MATCH($C14,final_df!$B$1:$ZZ$1,0))&gt;0)*(final_df!$E$2:$E$100=E$1))</f>
        <v>4</v>
      </c>
      <c r="F14" s="4">
        <f>SUMPRODUCT((INDEX(final_df!$B$2:$ZZ$100,,MATCH($C14,final_df!$B$1:$ZZ$1,0))&gt;0)*(final_df!$E$2:$E$100=F$1))</f>
        <v>6</v>
      </c>
      <c r="G14" s="4">
        <f>SUMPRODUCT((INDEX(final_df!$B$2:$ZZ$100,,MATCH($C14,final_df!$B$1:$ZZ$1,0))&gt;0)*(final_df!$AM$2:$AM$100=G$1))</f>
        <v>2</v>
      </c>
      <c r="H14" s="4">
        <f>SUMPRODUCT((INDEX(final_df!$B$2:$ZZ$100,,MATCH($C14,final_df!$B$1:$ZZ$1,0))&gt;0)*(final_df!$AM$2:$AM$100=H$1))</f>
        <v>4</v>
      </c>
      <c r="I14" s="4">
        <f>SUMPRODUCT((INDEX(final_df!$B$2:$ZZ$100,,MATCH($C14,final_df!$B$1:$ZZ$1,0))&gt;0)*(final_df!$AM$2:$AM$100=I$1))</f>
        <v>4</v>
      </c>
    </row>
    <row r="15" spans="1:9" x14ac:dyDescent="0.25">
      <c r="A15" s="21"/>
      <c r="B15" t="s">
        <v>422</v>
      </c>
      <c r="C15" s="1" t="s">
        <v>66</v>
      </c>
      <c r="D15" s="4">
        <f>SUMPRODUCT((INDEX(final_df!$B$2:$ZZ$100,,MATCH(C15,final_df!$B$1:$ZZ$1,0))&gt;0)*1)</f>
        <v>19</v>
      </c>
      <c r="E15" s="4">
        <f>SUMPRODUCT((INDEX(final_df!$B$2:$ZZ$100,,MATCH($C15,final_df!$B$1:$ZZ$1,0))&gt;0)*(final_df!$E$2:$E$100=E$1))</f>
        <v>8</v>
      </c>
      <c r="F15" s="4">
        <f>SUMPRODUCT((INDEX(final_df!$B$2:$ZZ$100,,MATCH($C15,final_df!$B$1:$ZZ$1,0))&gt;0)*(final_df!$E$2:$E$100=F$1))</f>
        <v>11</v>
      </c>
      <c r="G15" s="4">
        <f>SUMPRODUCT((INDEX(final_df!$B$2:$ZZ$100,,MATCH($C15,final_df!$B$1:$ZZ$1,0))&gt;0)*(final_df!$AM$2:$AM$100=G$1))</f>
        <v>4</v>
      </c>
      <c r="H15" s="4">
        <f>SUMPRODUCT((INDEX(final_df!$B$2:$ZZ$100,,MATCH($C15,final_df!$B$1:$ZZ$1,0))&gt;0)*(final_df!$AM$2:$AM$100=H$1))</f>
        <v>6</v>
      </c>
      <c r="I15" s="4">
        <f>SUMPRODUCT((INDEX(final_df!$B$2:$ZZ$100,,MATCH($C15,final_df!$B$1:$ZZ$1,0))&gt;0)*(final_df!$AM$2:$AM$100=I$1))</f>
        <v>9</v>
      </c>
    </row>
    <row r="16" spans="1:9" x14ac:dyDescent="0.25">
      <c r="A16" s="21" t="s">
        <v>417</v>
      </c>
      <c r="B16" t="s">
        <v>416</v>
      </c>
      <c r="C16" s="1" t="s">
        <v>56</v>
      </c>
      <c r="D16" s="4">
        <f>SUMPRODUCT((INDEX(final_df!$B$2:$ZZ$100,,MATCH(C16,final_df!$B$1:$ZZ$1,0))&gt;0)*1)</f>
        <v>21</v>
      </c>
      <c r="E16" s="4">
        <f>SUMPRODUCT((INDEX(final_df!$B$2:$ZZ$100,,MATCH($C16,final_df!$B$1:$ZZ$1,0))&gt;0)*(final_df!$E$2:$E$100=E$1))</f>
        <v>7</v>
      </c>
      <c r="F16" s="4">
        <f>SUMPRODUCT((INDEX(final_df!$B$2:$ZZ$100,,MATCH($C16,final_df!$B$1:$ZZ$1,0))&gt;0)*(final_df!$E$2:$E$100=F$1))</f>
        <v>14</v>
      </c>
      <c r="G16" s="4">
        <f>SUMPRODUCT((INDEX(final_df!$B$2:$ZZ$100,,MATCH($C16,final_df!$B$1:$ZZ$1,0))&gt;0)*(final_df!$AM$2:$AM$100=G$1))</f>
        <v>10</v>
      </c>
      <c r="H16" s="4">
        <f>SUMPRODUCT((INDEX(final_df!$B$2:$ZZ$100,,MATCH($C16,final_df!$B$1:$ZZ$1,0))&gt;0)*(final_df!$AM$2:$AM$100=H$1))</f>
        <v>7</v>
      </c>
      <c r="I16" s="4">
        <f>SUMPRODUCT((INDEX(final_df!$B$2:$ZZ$100,,MATCH($C16,final_df!$B$1:$ZZ$1,0))&gt;0)*(final_df!$AM$2:$AM$100=I$1))</f>
        <v>4</v>
      </c>
    </row>
    <row r="17" spans="1:9" x14ac:dyDescent="0.25">
      <c r="A17" s="21"/>
      <c r="B17" t="s">
        <v>418</v>
      </c>
      <c r="C17" s="1" t="s">
        <v>90</v>
      </c>
      <c r="D17" s="4">
        <f>SUMPRODUCT((INDEX(final_df!$B$2:$ZZ$100,,MATCH(C17,final_df!$B$1:$ZZ$1,0))&gt;0)*1)</f>
        <v>4</v>
      </c>
      <c r="E17" s="4">
        <f>SUMPRODUCT((INDEX(final_df!$B$2:$ZZ$100,,MATCH($C17,final_df!$B$1:$ZZ$1,0))&gt;0)*(final_df!$E$2:$E$100=E$1))</f>
        <v>2</v>
      </c>
      <c r="F17" s="4">
        <f>SUMPRODUCT((INDEX(final_df!$B$2:$ZZ$100,,MATCH($C17,final_df!$B$1:$ZZ$1,0))&gt;0)*(final_df!$E$2:$E$100=F$1))</f>
        <v>2</v>
      </c>
      <c r="G17" s="4">
        <f>SUMPRODUCT((INDEX(final_df!$B$2:$ZZ$100,,MATCH($C17,final_df!$B$1:$ZZ$1,0))&gt;0)*(final_df!$AM$2:$AM$100=G$1))</f>
        <v>2</v>
      </c>
      <c r="H17" s="4">
        <f>SUMPRODUCT((INDEX(final_df!$B$2:$ZZ$100,,MATCH($C17,final_df!$B$1:$ZZ$1,0))&gt;0)*(final_df!$AM$2:$AM$100=H$1))</f>
        <v>1</v>
      </c>
      <c r="I17" s="4">
        <f>SUMPRODUCT((INDEX(final_df!$B$2:$ZZ$100,,MATCH($C17,final_df!$B$1:$ZZ$1,0))&gt;0)*(final_df!$AM$2:$AM$100=I$1))</f>
        <v>1</v>
      </c>
    </row>
    <row r="18" spans="1:9" x14ac:dyDescent="0.25">
      <c r="A18" s="21"/>
      <c r="B18" t="s">
        <v>419</v>
      </c>
      <c r="C18" s="1" t="s">
        <v>57</v>
      </c>
      <c r="D18" s="4">
        <f>SUMPRODUCT((INDEX(final_df!$B$2:$ZZ$100,,MATCH(C18,final_df!$B$1:$ZZ$1,0))&gt;0)*1)</f>
        <v>14</v>
      </c>
      <c r="E18" s="4">
        <f>SUMPRODUCT((INDEX(final_df!$B$2:$ZZ$100,,MATCH($C18,final_df!$B$1:$ZZ$1,0))&gt;0)*(final_df!$E$2:$E$100=E$1))</f>
        <v>7</v>
      </c>
      <c r="F18" s="4">
        <f>SUMPRODUCT((INDEX(final_df!$B$2:$ZZ$100,,MATCH($C18,final_df!$B$1:$ZZ$1,0))&gt;0)*(final_df!$E$2:$E$100=F$1))</f>
        <v>7</v>
      </c>
      <c r="G18" s="4">
        <f>SUMPRODUCT((INDEX(final_df!$B$2:$ZZ$100,,MATCH($C18,final_df!$B$1:$ZZ$1,0))&gt;0)*(final_df!$AM$2:$AM$100=G$1))</f>
        <v>5</v>
      </c>
      <c r="H18" s="4">
        <f>SUMPRODUCT((INDEX(final_df!$B$2:$ZZ$100,,MATCH($C18,final_df!$B$1:$ZZ$1,0))&gt;0)*(final_df!$AM$2:$AM$100=H$1))</f>
        <v>7</v>
      </c>
      <c r="I18" s="4">
        <f>SUMPRODUCT((INDEX(final_df!$B$2:$ZZ$100,,MATCH($C18,final_df!$B$1:$ZZ$1,0))&gt;0)*(final_df!$AM$2:$AM$100=I$1))</f>
        <v>2</v>
      </c>
    </row>
    <row r="19" spans="1:9" x14ac:dyDescent="0.25">
      <c r="A19" s="21" t="s">
        <v>397</v>
      </c>
      <c r="B19" t="s">
        <v>396</v>
      </c>
      <c r="C19" s="1" t="s">
        <v>42</v>
      </c>
      <c r="D19" s="4">
        <f>SUMPRODUCT((INDEX(final_df!$B$2:$ZZ$100,,MATCH(C19,final_df!$B$1:$ZZ$1,0))&gt;0)*1)</f>
        <v>53</v>
      </c>
      <c r="E19" s="4">
        <f>SUMPRODUCT((INDEX(final_df!$B$2:$ZZ$100,,MATCH($C19,final_df!$B$1:$ZZ$1,0))&gt;0)*(final_df!$E$2:$E$100=E$1))</f>
        <v>27</v>
      </c>
      <c r="F19" s="4">
        <f>SUMPRODUCT((INDEX(final_df!$B$2:$ZZ$100,,MATCH($C19,final_df!$B$1:$ZZ$1,0))&gt;0)*(final_df!$E$2:$E$100=F$1))</f>
        <v>26</v>
      </c>
      <c r="G19" s="4">
        <f>SUMPRODUCT((INDEX(final_df!$B$2:$ZZ$100,,MATCH($C19,final_df!$B$1:$ZZ$1,0))&gt;0)*(final_df!$AM$2:$AM$100=G$1))</f>
        <v>17</v>
      </c>
      <c r="H19" s="4">
        <f>SUMPRODUCT((INDEX(final_df!$B$2:$ZZ$100,,MATCH($C19,final_df!$B$1:$ZZ$1,0))&gt;0)*(final_df!$AM$2:$AM$100=H$1))</f>
        <v>18</v>
      </c>
      <c r="I19" s="4">
        <f>SUMPRODUCT((INDEX(final_df!$B$2:$ZZ$100,,MATCH($C19,final_df!$B$1:$ZZ$1,0))&gt;0)*(final_df!$AM$2:$AM$100=I$1))</f>
        <v>18</v>
      </c>
    </row>
    <row r="20" spans="1:9" x14ac:dyDescent="0.25">
      <c r="A20" s="21"/>
      <c r="B20" s="3" t="s">
        <v>398</v>
      </c>
      <c r="C20" s="1" t="s">
        <v>43</v>
      </c>
      <c r="D20" s="4">
        <f>SUMPRODUCT((INDEX(final_df!$B$2:$ZZ$100,,MATCH(C20,final_df!$B$1:$ZZ$1,0))&gt;0)*1)</f>
        <v>54</v>
      </c>
      <c r="E20" s="4">
        <f>SUMPRODUCT((INDEX(final_df!$B$2:$ZZ$100,,MATCH($C20,final_df!$B$1:$ZZ$1,0))&gt;0)*(final_df!$E$2:$E$100=E$1))</f>
        <v>26</v>
      </c>
      <c r="F20" s="4">
        <f>SUMPRODUCT((INDEX(final_df!$B$2:$ZZ$100,,MATCH($C20,final_df!$B$1:$ZZ$1,0))&gt;0)*(final_df!$E$2:$E$100=F$1))</f>
        <v>28</v>
      </c>
      <c r="G20" s="4">
        <f>SUMPRODUCT((INDEX(final_df!$B$2:$ZZ$100,,MATCH($C20,final_df!$B$1:$ZZ$1,0))&gt;0)*(final_df!$AM$2:$AM$100=G$1))</f>
        <v>18</v>
      </c>
      <c r="H20" s="4">
        <f>SUMPRODUCT((INDEX(final_df!$B$2:$ZZ$100,,MATCH($C20,final_df!$B$1:$ZZ$1,0))&gt;0)*(final_df!$AM$2:$AM$100=H$1))</f>
        <v>18</v>
      </c>
      <c r="I20" s="4">
        <f>SUMPRODUCT((INDEX(final_df!$B$2:$ZZ$100,,MATCH($C20,final_df!$B$1:$ZZ$1,0))&gt;0)*(final_df!$AM$2:$AM$100=I$1))</f>
        <v>18</v>
      </c>
    </row>
    <row r="21" spans="1:9" x14ac:dyDescent="0.25">
      <c r="A21" s="21" t="s">
        <v>405</v>
      </c>
      <c r="B21" t="s">
        <v>409</v>
      </c>
      <c r="C21" s="1" t="s">
        <v>67</v>
      </c>
      <c r="D21" s="4">
        <f>SUMPRODUCT((INDEX(final_df!$B$2:$ZZ$100,,MATCH(C21,final_df!$B$1:$ZZ$1,0))&gt;0)*1)</f>
        <v>25</v>
      </c>
      <c r="E21" s="4">
        <f>SUMPRODUCT((INDEX(final_df!$B$2:$ZZ$100,,MATCH($C21,final_df!$B$1:$ZZ$1,0))&gt;0)*(final_df!$E$2:$E$100=E$1))</f>
        <v>11</v>
      </c>
      <c r="F21" s="4">
        <f>SUMPRODUCT((INDEX(final_df!$B$2:$ZZ$100,,MATCH($C21,final_df!$B$1:$ZZ$1,0))&gt;0)*(final_df!$E$2:$E$100=F$1))</f>
        <v>14</v>
      </c>
      <c r="G21" s="4">
        <f>SUMPRODUCT((INDEX(final_df!$B$2:$ZZ$100,,MATCH($C21,final_df!$B$1:$ZZ$1,0))&gt;0)*(final_df!$AM$2:$AM$100=G$1))</f>
        <v>6</v>
      </c>
      <c r="H21" s="4">
        <f>SUMPRODUCT((INDEX(final_df!$B$2:$ZZ$100,,MATCH($C21,final_df!$B$1:$ZZ$1,0))&gt;0)*(final_df!$AM$2:$AM$100=H$1))</f>
        <v>12</v>
      </c>
      <c r="I21" s="4">
        <f>SUMPRODUCT((INDEX(final_df!$B$2:$ZZ$100,,MATCH($C21,final_df!$B$1:$ZZ$1,0))&gt;0)*(final_df!$AM$2:$AM$100=I$1))</f>
        <v>7</v>
      </c>
    </row>
    <row r="22" spans="1:9" x14ac:dyDescent="0.25">
      <c r="A22" s="21"/>
      <c r="B22" t="s">
        <v>404</v>
      </c>
      <c r="C22" s="1" t="s">
        <v>44</v>
      </c>
      <c r="D22" s="4">
        <f>SUMPRODUCT((INDEX(final_df!$B$2:$ZZ$100,,MATCH(C22,final_df!$B$1:$ZZ$1,0))&gt;0)*1)</f>
        <v>42</v>
      </c>
      <c r="E22" s="4">
        <f>SUMPRODUCT((INDEX(final_df!$B$2:$ZZ$100,,MATCH($C22,final_df!$B$1:$ZZ$1,0))&gt;0)*(final_df!$E$2:$E$100=E$1))</f>
        <v>21</v>
      </c>
      <c r="F22" s="4">
        <f>SUMPRODUCT((INDEX(final_df!$B$2:$ZZ$100,,MATCH($C22,final_df!$B$1:$ZZ$1,0))&gt;0)*(final_df!$E$2:$E$100=F$1))</f>
        <v>21</v>
      </c>
      <c r="G22" s="4">
        <f>SUMPRODUCT((INDEX(final_df!$B$2:$ZZ$100,,MATCH($C22,final_df!$B$1:$ZZ$1,0))&gt;0)*(final_df!$AM$2:$AM$100=G$1))</f>
        <v>16</v>
      </c>
      <c r="H22" s="4">
        <f>SUMPRODUCT((INDEX(final_df!$B$2:$ZZ$100,,MATCH($C22,final_df!$B$1:$ZZ$1,0))&gt;0)*(final_df!$AM$2:$AM$100=H$1))</f>
        <v>14</v>
      </c>
      <c r="I22" s="4">
        <f>SUMPRODUCT((INDEX(final_df!$B$2:$ZZ$100,,MATCH($C22,final_df!$B$1:$ZZ$1,0))&gt;0)*(final_df!$AM$2:$AM$100=I$1))</f>
        <v>12</v>
      </c>
    </row>
    <row r="23" spans="1:9" x14ac:dyDescent="0.25">
      <c r="A23" s="21"/>
      <c r="B23" t="s">
        <v>425</v>
      </c>
      <c r="C23" s="1" t="s">
        <v>45</v>
      </c>
      <c r="D23" s="4">
        <f>SUMPRODUCT((INDEX(final_df!$B$2:$ZZ$100,,MATCH(C23,final_df!$B$1:$ZZ$1,0))&gt;0)*1)</f>
        <v>28</v>
      </c>
      <c r="E23" s="4">
        <f>SUMPRODUCT((INDEX(final_df!$B$2:$ZZ$100,,MATCH($C23,final_df!$B$1:$ZZ$1,0))&gt;0)*(final_df!$E$2:$E$100=E$1))</f>
        <v>13</v>
      </c>
      <c r="F23" s="4">
        <f>SUMPRODUCT((INDEX(final_df!$B$2:$ZZ$100,,MATCH($C23,final_df!$B$1:$ZZ$1,0))&gt;0)*(final_df!$E$2:$E$100=F$1))</f>
        <v>15</v>
      </c>
      <c r="G23" s="4">
        <f>SUMPRODUCT((INDEX(final_df!$B$2:$ZZ$100,,MATCH($C23,final_df!$B$1:$ZZ$1,0))&gt;0)*(final_df!$AM$2:$AM$100=G$1))</f>
        <v>10</v>
      </c>
      <c r="H23" s="4">
        <f>SUMPRODUCT((INDEX(final_df!$B$2:$ZZ$100,,MATCH($C23,final_df!$B$1:$ZZ$1,0))&gt;0)*(final_df!$AM$2:$AM$100=H$1))</f>
        <v>13</v>
      </c>
      <c r="I23" s="4">
        <f>SUMPRODUCT((INDEX(final_df!$B$2:$ZZ$100,,MATCH($C23,final_df!$B$1:$ZZ$1,0))&gt;0)*(final_df!$AM$2:$AM$100=I$1))</f>
        <v>5</v>
      </c>
    </row>
    <row r="24" spans="1:9" x14ac:dyDescent="0.25">
      <c r="A24" s="21"/>
      <c r="B24" t="s">
        <v>434</v>
      </c>
      <c r="C24" s="1" t="s">
        <v>46</v>
      </c>
      <c r="D24" s="4">
        <f>SUMPRODUCT((INDEX(final_df!$B$2:$ZZ$100,,MATCH(C24,final_df!$B$1:$ZZ$1,0))&gt;0)*1)</f>
        <v>15</v>
      </c>
      <c r="E24" s="4">
        <f>SUMPRODUCT((INDEX(final_df!$B$2:$ZZ$100,,MATCH($C24,final_df!$B$1:$ZZ$1,0))&gt;0)*(final_df!$E$2:$E$100=E$1))</f>
        <v>10</v>
      </c>
      <c r="F24" s="4">
        <f>SUMPRODUCT((INDEX(final_df!$B$2:$ZZ$100,,MATCH($C24,final_df!$B$1:$ZZ$1,0))&gt;0)*(final_df!$E$2:$E$100=F$1))</f>
        <v>5</v>
      </c>
      <c r="G24" s="4">
        <f>SUMPRODUCT((INDEX(final_df!$B$2:$ZZ$100,,MATCH($C24,final_df!$B$1:$ZZ$1,0))&gt;0)*(final_df!$AM$2:$AM$100=G$1))</f>
        <v>4</v>
      </c>
      <c r="H24" s="4">
        <f>SUMPRODUCT((INDEX(final_df!$B$2:$ZZ$100,,MATCH($C24,final_df!$B$1:$ZZ$1,0))&gt;0)*(final_df!$AM$2:$AM$100=H$1))</f>
        <v>5</v>
      </c>
      <c r="I24" s="4">
        <f>SUMPRODUCT((INDEX(final_df!$B$2:$ZZ$100,,MATCH($C24,final_df!$B$1:$ZZ$1,0))&gt;0)*(final_df!$AM$2:$AM$100=I$1))</f>
        <v>6</v>
      </c>
    </row>
    <row r="25" spans="1:9" x14ac:dyDescent="0.25">
      <c r="A25" s="21"/>
      <c r="B25" t="s">
        <v>410</v>
      </c>
      <c r="C25" s="1" t="s">
        <v>47</v>
      </c>
      <c r="D25" s="4">
        <f>SUMPRODUCT((INDEX(final_df!$B$2:$ZZ$100,,MATCH(C25,final_df!$B$1:$ZZ$1,0))&gt;0)*1)</f>
        <v>39</v>
      </c>
      <c r="E25" s="4">
        <f>SUMPRODUCT((INDEX(final_df!$B$2:$ZZ$100,,MATCH($C25,final_df!$B$1:$ZZ$1,0))&gt;0)*(final_df!$E$2:$E$100=E$1))</f>
        <v>16</v>
      </c>
      <c r="F25" s="4">
        <f>SUMPRODUCT((INDEX(final_df!$B$2:$ZZ$100,,MATCH($C25,final_df!$B$1:$ZZ$1,0))&gt;0)*(final_df!$E$2:$E$100=F$1))</f>
        <v>23</v>
      </c>
      <c r="G25" s="4">
        <f>SUMPRODUCT((INDEX(final_df!$B$2:$ZZ$100,,MATCH($C25,final_df!$B$1:$ZZ$1,0))&gt;0)*(final_df!$AM$2:$AM$100=G$1))</f>
        <v>12</v>
      </c>
      <c r="H25" s="4">
        <f>SUMPRODUCT((INDEX(final_df!$B$2:$ZZ$100,,MATCH($C25,final_df!$B$1:$ZZ$1,0))&gt;0)*(final_df!$AM$2:$AM$100=H$1))</f>
        <v>14</v>
      </c>
      <c r="I25" s="4">
        <f>SUMPRODUCT((INDEX(final_df!$B$2:$ZZ$100,,MATCH($C25,final_df!$B$1:$ZZ$1,0))&gt;0)*(final_df!$AM$2:$AM$100=I$1))</f>
        <v>13</v>
      </c>
    </row>
    <row r="26" spans="1:9" x14ac:dyDescent="0.25">
      <c r="A26" s="21"/>
      <c r="B26" t="s">
        <v>411</v>
      </c>
      <c r="C26" s="1" t="s">
        <v>68</v>
      </c>
      <c r="D26" s="4">
        <f>SUMPRODUCT((INDEX(final_df!$B$2:$ZZ$100,,MATCH(C26,final_df!$B$1:$ZZ$1,0))&gt;0)*1)</f>
        <v>32</v>
      </c>
      <c r="E26" s="4">
        <f>SUMPRODUCT((INDEX(final_df!$B$2:$ZZ$100,,MATCH($C26,final_df!$B$1:$ZZ$1,0))&gt;0)*(final_df!$E$2:$E$100=E$1))</f>
        <v>16</v>
      </c>
      <c r="F26" s="4">
        <f>SUMPRODUCT((INDEX(final_df!$B$2:$ZZ$100,,MATCH($C26,final_df!$B$1:$ZZ$1,0))&gt;0)*(final_df!$E$2:$E$100=F$1))</f>
        <v>16</v>
      </c>
      <c r="G26" s="4">
        <f>SUMPRODUCT((INDEX(final_df!$B$2:$ZZ$100,,MATCH($C26,final_df!$B$1:$ZZ$1,0))&gt;0)*(final_df!$AM$2:$AM$100=G$1))</f>
        <v>12</v>
      </c>
      <c r="H26" s="4">
        <f>SUMPRODUCT((INDEX(final_df!$B$2:$ZZ$100,,MATCH($C26,final_df!$B$1:$ZZ$1,0))&gt;0)*(final_df!$AM$2:$AM$100=H$1))</f>
        <v>14</v>
      </c>
      <c r="I26" s="4">
        <f>SUMPRODUCT((INDEX(final_df!$B$2:$ZZ$100,,MATCH($C26,final_df!$B$1:$ZZ$1,0))&gt;0)*(final_df!$AM$2:$AM$100=I$1))</f>
        <v>6</v>
      </c>
    </row>
    <row r="27" spans="1:9" x14ac:dyDescent="0.25">
      <c r="A27" s="21" t="s">
        <v>439</v>
      </c>
      <c r="B27" t="s">
        <v>442</v>
      </c>
      <c r="C27" s="1" t="s">
        <v>48</v>
      </c>
      <c r="D27" s="4">
        <f>SUMPRODUCT((INDEX(final_df!$B$2:$ZZ$100,,MATCH(C27,final_df!$B$1:$ZZ$1,0))&gt;0)*1)</f>
        <v>25</v>
      </c>
      <c r="E27" s="4">
        <f>SUMPRODUCT((INDEX(final_df!$B$2:$ZZ$100,,MATCH($C27,final_df!$B$1:$ZZ$1,0))&gt;0)*(final_df!$E$2:$E$100=E$1))</f>
        <v>13</v>
      </c>
      <c r="F27" s="4">
        <f>SUMPRODUCT((INDEX(final_df!$B$2:$ZZ$100,,MATCH($C27,final_df!$B$1:$ZZ$1,0))&gt;0)*(final_df!$E$2:$E$100=F$1))</f>
        <v>12</v>
      </c>
      <c r="G27" s="4">
        <f>SUMPRODUCT((INDEX(final_df!$B$2:$ZZ$100,,MATCH($C27,final_df!$B$1:$ZZ$1,0))&gt;0)*(final_df!$AM$2:$AM$100=G$1))</f>
        <v>9</v>
      </c>
      <c r="H27" s="4">
        <f>SUMPRODUCT((INDEX(final_df!$B$2:$ZZ$100,,MATCH($C27,final_df!$B$1:$ZZ$1,0))&gt;0)*(final_df!$AM$2:$AM$100=H$1))</f>
        <v>10</v>
      </c>
      <c r="I27" s="4">
        <f>SUMPRODUCT((INDEX(final_df!$B$2:$ZZ$100,,MATCH($C27,final_df!$B$1:$ZZ$1,0))&gt;0)*(final_df!$AM$2:$AM$100=I$1))</f>
        <v>6</v>
      </c>
    </row>
    <row r="28" spans="1:9" x14ac:dyDescent="0.25">
      <c r="A28" s="21"/>
      <c r="B28" t="s">
        <v>441</v>
      </c>
      <c r="C28" s="1" t="s">
        <v>69</v>
      </c>
      <c r="D28" s="4">
        <f>SUMPRODUCT((INDEX(final_df!$B$2:$ZZ$100,,MATCH(C28,final_df!$B$1:$ZZ$1,0))&gt;0)*1)</f>
        <v>18</v>
      </c>
      <c r="E28" s="4">
        <f>SUMPRODUCT((INDEX(final_df!$B$2:$ZZ$100,,MATCH($C28,final_df!$B$1:$ZZ$1,0))&gt;0)*(final_df!$E$2:$E$100=E$1))</f>
        <v>8</v>
      </c>
      <c r="F28" s="4">
        <f>SUMPRODUCT((INDEX(final_df!$B$2:$ZZ$100,,MATCH($C28,final_df!$B$1:$ZZ$1,0))&gt;0)*(final_df!$E$2:$E$100=F$1))</f>
        <v>10</v>
      </c>
      <c r="G28" s="4">
        <f>SUMPRODUCT((INDEX(final_df!$B$2:$ZZ$100,,MATCH($C28,final_df!$B$1:$ZZ$1,0))&gt;0)*(final_df!$AM$2:$AM$100=G$1))</f>
        <v>7</v>
      </c>
      <c r="H28" s="4">
        <f>SUMPRODUCT((INDEX(final_df!$B$2:$ZZ$100,,MATCH($C28,final_df!$B$1:$ZZ$1,0))&gt;0)*(final_df!$AM$2:$AM$100=H$1))</f>
        <v>6</v>
      </c>
      <c r="I28" s="4">
        <f>SUMPRODUCT((INDEX(final_df!$B$2:$ZZ$100,,MATCH($C28,final_df!$B$1:$ZZ$1,0))&gt;0)*(final_df!$AM$2:$AM$100=I$1))</f>
        <v>5</v>
      </c>
    </row>
    <row r="29" spans="1:9" x14ac:dyDescent="0.25">
      <c r="A29" s="21"/>
      <c r="B29" t="s">
        <v>440</v>
      </c>
      <c r="C29" s="1" t="s">
        <v>49</v>
      </c>
      <c r="D29" s="4">
        <f>SUMPRODUCT((INDEX(final_df!$B$2:$ZZ$100,,MATCH(C29,final_df!$B$1:$ZZ$1,0))&gt;0)*1)</f>
        <v>23</v>
      </c>
      <c r="E29" s="4">
        <f>SUMPRODUCT((INDEX(final_df!$B$2:$ZZ$100,,MATCH($C29,final_df!$B$1:$ZZ$1,0))&gt;0)*(final_df!$E$2:$E$100=E$1))</f>
        <v>8</v>
      </c>
      <c r="F29" s="4">
        <f>SUMPRODUCT((INDEX(final_df!$B$2:$ZZ$100,,MATCH($C29,final_df!$B$1:$ZZ$1,0))&gt;0)*(final_df!$E$2:$E$100=F$1))</f>
        <v>15</v>
      </c>
      <c r="G29" s="4">
        <f>SUMPRODUCT((INDEX(final_df!$B$2:$ZZ$100,,MATCH($C29,final_df!$B$1:$ZZ$1,0))&gt;0)*(final_df!$AM$2:$AM$100=G$1))</f>
        <v>10</v>
      </c>
      <c r="H29" s="4">
        <f>SUMPRODUCT((INDEX(final_df!$B$2:$ZZ$100,,MATCH($C29,final_df!$B$1:$ZZ$1,0))&gt;0)*(final_df!$AM$2:$AM$100=H$1))</f>
        <v>8</v>
      </c>
      <c r="I29" s="4">
        <f>SUMPRODUCT((INDEX(final_df!$B$2:$ZZ$100,,MATCH($C29,final_df!$B$1:$ZZ$1,0))&gt;0)*(final_df!$AM$2:$AM$100=I$1))</f>
        <v>5</v>
      </c>
    </row>
    <row r="30" spans="1:9" x14ac:dyDescent="0.25">
      <c r="A30" s="21"/>
      <c r="B30" t="s">
        <v>438</v>
      </c>
      <c r="C30" s="1" t="s">
        <v>50</v>
      </c>
      <c r="D30" s="4">
        <f>SUMPRODUCT((INDEX(final_df!$B$2:$ZZ$100,,MATCH(C30,final_df!$B$1:$ZZ$1,0))&gt;0)*1)</f>
        <v>23</v>
      </c>
      <c r="E30" s="4">
        <f>SUMPRODUCT((INDEX(final_df!$B$2:$ZZ$100,,MATCH($C30,final_df!$B$1:$ZZ$1,0))&gt;0)*(final_df!$E$2:$E$100=E$1))</f>
        <v>9</v>
      </c>
      <c r="F30" s="4">
        <f>SUMPRODUCT((INDEX(final_df!$B$2:$ZZ$100,,MATCH($C30,final_df!$B$1:$ZZ$1,0))&gt;0)*(final_df!$E$2:$E$100=F$1))</f>
        <v>14</v>
      </c>
      <c r="G30" s="4">
        <f>SUMPRODUCT((INDEX(final_df!$B$2:$ZZ$100,,MATCH($C30,final_df!$B$1:$ZZ$1,0))&gt;0)*(final_df!$AM$2:$AM$100=G$1))</f>
        <v>9</v>
      </c>
      <c r="H30" s="4">
        <f>SUMPRODUCT((INDEX(final_df!$B$2:$ZZ$100,,MATCH($C30,final_df!$B$1:$ZZ$1,0))&gt;0)*(final_df!$AM$2:$AM$100=H$1))</f>
        <v>10</v>
      </c>
      <c r="I30" s="4">
        <f>SUMPRODUCT((INDEX(final_df!$B$2:$ZZ$100,,MATCH($C30,final_df!$B$1:$ZZ$1,0))&gt;0)*(final_df!$AM$2:$AM$100=I$1))</f>
        <v>4</v>
      </c>
    </row>
    <row r="31" spans="1:9" x14ac:dyDescent="0.25">
      <c r="A31" s="21" t="s">
        <v>390</v>
      </c>
      <c r="B31" t="s">
        <v>393</v>
      </c>
      <c r="C31" s="1" t="s">
        <v>70</v>
      </c>
      <c r="D31" s="4">
        <f>SUMPRODUCT((INDEX(final_df!$B$2:$ZZ$100,,MATCH(C31,final_df!$B$1:$ZZ$1,0))&gt;0)*1)</f>
        <v>29</v>
      </c>
      <c r="E31" s="4">
        <f>SUMPRODUCT((INDEX(final_df!$B$2:$ZZ$100,,MATCH($C31,final_df!$B$1:$ZZ$1,0))&gt;0)*(final_df!$E$2:$E$100=E$1))</f>
        <v>13</v>
      </c>
      <c r="F31" s="4">
        <f>SUMPRODUCT((INDEX(final_df!$B$2:$ZZ$100,,MATCH($C31,final_df!$B$1:$ZZ$1,0))&gt;0)*(final_df!$E$2:$E$100=F$1))</f>
        <v>16</v>
      </c>
      <c r="G31" s="4">
        <f>SUMPRODUCT((INDEX(final_df!$B$2:$ZZ$100,,MATCH($C31,final_df!$B$1:$ZZ$1,0))&gt;0)*(final_df!$AM$2:$AM$100=G$1))</f>
        <v>9</v>
      </c>
      <c r="H31" s="4">
        <f>SUMPRODUCT((INDEX(final_df!$B$2:$ZZ$100,,MATCH($C31,final_df!$B$1:$ZZ$1,0))&gt;0)*(final_df!$AM$2:$AM$100=H$1))</f>
        <v>11</v>
      </c>
      <c r="I31" s="4">
        <f>SUMPRODUCT((INDEX(final_df!$B$2:$ZZ$100,,MATCH($C31,final_df!$B$1:$ZZ$1,0))&gt;0)*(final_df!$AM$2:$AM$100=I$1))</f>
        <v>9</v>
      </c>
    </row>
    <row r="32" spans="1:9" x14ac:dyDescent="0.25">
      <c r="A32" s="21"/>
      <c r="B32" t="s">
        <v>392</v>
      </c>
      <c r="C32" s="1" t="s">
        <v>72</v>
      </c>
      <c r="D32" s="4">
        <f>SUMPRODUCT((INDEX(final_df!$B$2:$ZZ$100,,MATCH(C32,final_df!$B$1:$ZZ$1,0))&gt;0)*1)</f>
        <v>12</v>
      </c>
      <c r="E32" s="4">
        <f>SUMPRODUCT((INDEX(final_df!$B$2:$ZZ$100,,MATCH($C32,final_df!$B$1:$ZZ$1,0))&gt;0)*(final_df!$E$2:$E$100=E$1))</f>
        <v>6</v>
      </c>
      <c r="F32" s="4">
        <f>SUMPRODUCT((INDEX(final_df!$B$2:$ZZ$100,,MATCH($C32,final_df!$B$1:$ZZ$1,0))&gt;0)*(final_df!$E$2:$E$100=F$1))</f>
        <v>6</v>
      </c>
      <c r="G32" s="4">
        <f>SUMPRODUCT((INDEX(final_df!$B$2:$ZZ$100,,MATCH($C32,final_df!$B$1:$ZZ$1,0))&gt;0)*(final_df!$AM$2:$AM$100=G$1))</f>
        <v>1</v>
      </c>
      <c r="H32" s="4">
        <f>SUMPRODUCT((INDEX(final_df!$B$2:$ZZ$100,,MATCH($C32,final_df!$B$1:$ZZ$1,0))&gt;0)*(final_df!$AM$2:$AM$100=H$1))</f>
        <v>6</v>
      </c>
      <c r="I32" s="4">
        <f>SUMPRODUCT((INDEX(final_df!$B$2:$ZZ$100,,MATCH($C32,final_df!$B$1:$ZZ$1,0))&gt;0)*(final_df!$AM$2:$AM$100=I$1))</f>
        <v>5</v>
      </c>
    </row>
    <row r="33" spans="1:9" x14ac:dyDescent="0.25">
      <c r="A33" s="21"/>
      <c r="B33" t="s">
        <v>437</v>
      </c>
      <c r="C33" s="1" t="s">
        <v>71</v>
      </c>
      <c r="D33" s="4">
        <f>SUMPRODUCT((INDEX(final_df!$B$2:$ZZ$100,,MATCH(C33,final_df!$B$1:$ZZ$1,0))&gt;0)*1)</f>
        <v>19</v>
      </c>
      <c r="E33" s="4">
        <f>SUMPRODUCT((INDEX(final_df!$B$2:$ZZ$100,,MATCH($C33,final_df!$B$1:$ZZ$1,0))&gt;0)*(final_df!$E$2:$E$100=E$1))</f>
        <v>11</v>
      </c>
      <c r="F33" s="4">
        <f>SUMPRODUCT((INDEX(final_df!$B$2:$ZZ$100,,MATCH($C33,final_df!$B$1:$ZZ$1,0))&gt;0)*(final_df!$E$2:$E$100=F$1))</f>
        <v>8</v>
      </c>
      <c r="G33" s="4">
        <f>SUMPRODUCT((INDEX(final_df!$B$2:$ZZ$100,,MATCH($C33,final_df!$B$1:$ZZ$1,0))&gt;0)*(final_df!$AM$2:$AM$100=G$1))</f>
        <v>7</v>
      </c>
      <c r="H33" s="4">
        <f>SUMPRODUCT((INDEX(final_df!$B$2:$ZZ$100,,MATCH($C33,final_df!$B$1:$ZZ$1,0))&gt;0)*(final_df!$AM$2:$AM$100=H$1))</f>
        <v>4</v>
      </c>
      <c r="I33" s="4">
        <f>SUMPRODUCT((INDEX(final_df!$B$2:$ZZ$100,,MATCH($C33,final_df!$B$1:$ZZ$1,0))&gt;0)*(final_df!$AM$2:$AM$100=I$1))</f>
        <v>8</v>
      </c>
    </row>
    <row r="34" spans="1:9" x14ac:dyDescent="0.25">
      <c r="A34" s="21"/>
      <c r="B34" t="s">
        <v>391</v>
      </c>
      <c r="C34" s="1" t="s">
        <v>73</v>
      </c>
      <c r="D34" s="4">
        <f>SUMPRODUCT((INDEX(final_df!$B$2:$ZZ$100,,MATCH(C34,final_df!$B$1:$ZZ$1,0))&gt;0)*1)</f>
        <v>35</v>
      </c>
      <c r="E34" s="4">
        <f>SUMPRODUCT((INDEX(final_df!$B$2:$ZZ$100,,MATCH($C34,final_df!$B$1:$ZZ$1,0))&gt;0)*(final_df!$E$2:$E$100=E$1))</f>
        <v>17</v>
      </c>
      <c r="F34" s="4">
        <f>SUMPRODUCT((INDEX(final_df!$B$2:$ZZ$100,,MATCH($C34,final_df!$B$1:$ZZ$1,0))&gt;0)*(final_df!$E$2:$E$100=F$1))</f>
        <v>18</v>
      </c>
      <c r="G34" s="4">
        <f>SUMPRODUCT((INDEX(final_df!$B$2:$ZZ$100,,MATCH($C34,final_df!$B$1:$ZZ$1,0))&gt;0)*(final_df!$AM$2:$AM$100=G$1))</f>
        <v>7</v>
      </c>
      <c r="H34" s="4">
        <f>SUMPRODUCT((INDEX(final_df!$B$2:$ZZ$100,,MATCH($C34,final_df!$B$1:$ZZ$1,0))&gt;0)*(final_df!$AM$2:$AM$100=H$1))</f>
        <v>12</v>
      </c>
      <c r="I34" s="4">
        <f>SUMPRODUCT((INDEX(final_df!$B$2:$ZZ$100,,MATCH($C34,final_df!$B$1:$ZZ$1,0))&gt;0)*(final_df!$AM$2:$AM$100=I$1))</f>
        <v>16</v>
      </c>
    </row>
    <row r="35" spans="1:9" x14ac:dyDescent="0.25">
      <c r="A35" s="21"/>
      <c r="B35" t="s">
        <v>389</v>
      </c>
      <c r="C35" s="1" t="s">
        <v>51</v>
      </c>
      <c r="D35" s="4">
        <f>SUMPRODUCT((INDEX(final_df!$B$2:$ZZ$100,,MATCH(C35,final_df!$B$1:$ZZ$1,0))&gt;0)*1)</f>
        <v>53</v>
      </c>
      <c r="E35" s="4">
        <f>SUMPRODUCT((INDEX(final_df!$B$2:$ZZ$100,,MATCH($C35,final_df!$B$1:$ZZ$1,0))&gt;0)*(final_df!$E$2:$E$100=E$1))</f>
        <v>25</v>
      </c>
      <c r="F35" s="4">
        <f>SUMPRODUCT((INDEX(final_df!$B$2:$ZZ$100,,MATCH($C35,final_df!$B$1:$ZZ$1,0))&gt;0)*(final_df!$E$2:$E$100=F$1))</f>
        <v>28</v>
      </c>
      <c r="G35" s="4">
        <f>SUMPRODUCT((INDEX(final_df!$B$2:$ZZ$100,,MATCH($C35,final_df!$B$1:$ZZ$1,0))&gt;0)*(final_df!$AM$2:$AM$100=G$1))</f>
        <v>18</v>
      </c>
      <c r="H35" s="4">
        <f>SUMPRODUCT((INDEX(final_df!$B$2:$ZZ$100,,MATCH($C35,final_df!$B$1:$ZZ$1,0))&gt;0)*(final_df!$AM$2:$AM$100=H$1))</f>
        <v>18</v>
      </c>
      <c r="I35" s="4">
        <f>SUMPRODUCT((INDEX(final_df!$B$2:$ZZ$100,,MATCH($C35,final_df!$B$1:$ZZ$1,0))&gt;0)*(final_df!$AM$2:$AM$100=I$1))</f>
        <v>17</v>
      </c>
    </row>
    <row r="36" spans="1:9" x14ac:dyDescent="0.25">
      <c r="A36" s="21" t="s">
        <v>424</v>
      </c>
      <c r="B36" t="s">
        <v>445</v>
      </c>
      <c r="C36" s="1" t="s">
        <v>74</v>
      </c>
      <c r="D36" s="4">
        <f>SUMPRODUCT((INDEX(final_df!$B$2:$ZZ$100,,MATCH(C36,final_df!$B$1:$ZZ$1,0))&gt;0)*1)</f>
        <v>34</v>
      </c>
      <c r="E36" s="4">
        <f>SUMPRODUCT((INDEX(final_df!$B$2:$ZZ$100,,MATCH($C36,final_df!$B$1:$ZZ$1,0))&gt;0)*(final_df!$E$2:$E$100=E$1))</f>
        <v>19</v>
      </c>
      <c r="F36" s="4">
        <f>SUMPRODUCT((INDEX(final_df!$B$2:$ZZ$100,,MATCH($C36,final_df!$B$1:$ZZ$1,0))&gt;0)*(final_df!$E$2:$E$100=F$1))</f>
        <v>15</v>
      </c>
      <c r="G36" s="4">
        <f>SUMPRODUCT((INDEX(final_df!$B$2:$ZZ$100,,MATCH($C36,final_df!$B$1:$ZZ$1,0))&gt;0)*(final_df!$AM$2:$AM$100=G$1))</f>
        <v>11</v>
      </c>
      <c r="H36" s="4">
        <f>SUMPRODUCT((INDEX(final_df!$B$2:$ZZ$100,,MATCH($C36,final_df!$B$1:$ZZ$1,0))&gt;0)*(final_df!$AM$2:$AM$100=H$1))</f>
        <v>11</v>
      </c>
      <c r="I36" s="4">
        <f>SUMPRODUCT((INDEX(final_df!$B$2:$ZZ$100,,MATCH($C36,final_df!$B$1:$ZZ$1,0))&gt;0)*(final_df!$AM$2:$AM$100=I$1))</f>
        <v>12</v>
      </c>
    </row>
    <row r="37" spans="1:9" x14ac:dyDescent="0.25">
      <c r="A37" s="21"/>
      <c r="B37" t="s">
        <v>443</v>
      </c>
      <c r="C37" s="1" t="s">
        <v>75</v>
      </c>
      <c r="D37" s="4">
        <f>SUMPRODUCT((INDEX(final_df!$B$2:$ZZ$100,,MATCH(C37,final_df!$B$1:$ZZ$1,0))&gt;0)*1)</f>
        <v>27</v>
      </c>
      <c r="E37" s="4">
        <f>SUMPRODUCT((INDEX(final_df!$B$2:$ZZ$100,,MATCH($C37,final_df!$B$1:$ZZ$1,0))&gt;0)*(final_df!$E$2:$E$100=E$1))</f>
        <v>13</v>
      </c>
      <c r="F37" s="4">
        <f>SUMPRODUCT((INDEX(final_df!$B$2:$ZZ$100,,MATCH($C37,final_df!$B$1:$ZZ$1,0))&gt;0)*(final_df!$E$2:$E$100=F$1))</f>
        <v>14</v>
      </c>
      <c r="G37" s="4">
        <f>SUMPRODUCT((INDEX(final_df!$B$2:$ZZ$100,,MATCH($C37,final_df!$B$1:$ZZ$1,0))&gt;0)*(final_df!$AM$2:$AM$100=G$1))</f>
        <v>10</v>
      </c>
      <c r="H37" s="4">
        <f>SUMPRODUCT((INDEX(final_df!$B$2:$ZZ$100,,MATCH($C37,final_df!$B$1:$ZZ$1,0))&gt;0)*(final_df!$AM$2:$AM$100=H$1))</f>
        <v>10</v>
      </c>
      <c r="I37" s="4">
        <f>SUMPRODUCT((INDEX(final_df!$B$2:$ZZ$100,,MATCH($C37,final_df!$B$1:$ZZ$1,0))&gt;0)*(final_df!$AM$2:$AM$100=I$1))</f>
        <v>7</v>
      </c>
    </row>
    <row r="38" spans="1:9" x14ac:dyDescent="0.25">
      <c r="A38" s="21"/>
      <c r="B38" t="s">
        <v>446</v>
      </c>
      <c r="C38" s="1" t="s">
        <v>76</v>
      </c>
      <c r="D38" s="4">
        <f>SUMPRODUCT((INDEX(final_df!$B$2:$ZZ$100,,MATCH(C38,final_df!$B$1:$ZZ$1,0))&gt;0)*1)</f>
        <v>20</v>
      </c>
      <c r="E38" s="4">
        <f>SUMPRODUCT((INDEX(final_df!$B$2:$ZZ$100,,MATCH($C38,final_df!$B$1:$ZZ$1,0))&gt;0)*(final_df!$E$2:$E$100=E$1))</f>
        <v>9</v>
      </c>
      <c r="F38" s="4">
        <f>SUMPRODUCT((INDEX(final_df!$B$2:$ZZ$100,,MATCH($C38,final_df!$B$1:$ZZ$1,0))&gt;0)*(final_df!$E$2:$E$100=F$1))</f>
        <v>11</v>
      </c>
      <c r="G38" s="4">
        <f>SUMPRODUCT((INDEX(final_df!$B$2:$ZZ$100,,MATCH($C38,final_df!$B$1:$ZZ$1,0))&gt;0)*(final_df!$AM$2:$AM$100=G$1))</f>
        <v>6</v>
      </c>
      <c r="H38" s="4">
        <f>SUMPRODUCT((INDEX(final_df!$B$2:$ZZ$100,,MATCH($C38,final_df!$B$1:$ZZ$1,0))&gt;0)*(final_df!$AM$2:$AM$100=H$1))</f>
        <v>8</v>
      </c>
      <c r="I38" s="4">
        <f>SUMPRODUCT((INDEX(final_df!$B$2:$ZZ$100,,MATCH($C38,final_df!$B$1:$ZZ$1,0))&gt;0)*(final_df!$AM$2:$AM$100=I$1))</f>
        <v>6</v>
      </c>
    </row>
    <row r="39" spans="1:9" x14ac:dyDescent="0.25">
      <c r="A39" s="21"/>
      <c r="B39" t="s">
        <v>423</v>
      </c>
      <c r="C39" s="1" t="s">
        <v>86</v>
      </c>
      <c r="D39" s="4">
        <f>SUMPRODUCT((INDEX(final_df!$B$2:$ZZ$100,,MATCH(C39,final_df!$B$1:$ZZ$1,0))&gt;0)*1)</f>
        <v>15</v>
      </c>
      <c r="E39" s="4">
        <f>SUMPRODUCT((INDEX(final_df!$B$2:$ZZ$100,,MATCH($C39,final_df!$B$1:$ZZ$1,0))&gt;0)*(final_df!$E$2:$E$100=E$1))</f>
        <v>8</v>
      </c>
      <c r="F39" s="4">
        <f>SUMPRODUCT((INDEX(final_df!$B$2:$ZZ$100,,MATCH($C39,final_df!$B$1:$ZZ$1,0))&gt;0)*(final_df!$E$2:$E$100=F$1))</f>
        <v>7</v>
      </c>
      <c r="G39" s="4">
        <f>SUMPRODUCT((INDEX(final_df!$B$2:$ZZ$100,,MATCH($C39,final_df!$B$1:$ZZ$1,0))&gt;0)*(final_df!$AM$2:$AM$100=G$1))</f>
        <v>4</v>
      </c>
      <c r="H39" s="4">
        <f>SUMPRODUCT((INDEX(final_df!$B$2:$ZZ$100,,MATCH($C39,final_df!$B$1:$ZZ$1,0))&gt;0)*(final_df!$AM$2:$AM$100=H$1))</f>
        <v>6</v>
      </c>
      <c r="I39" s="4">
        <f>SUMPRODUCT((INDEX(final_df!$B$2:$ZZ$100,,MATCH($C39,final_df!$B$1:$ZZ$1,0))&gt;0)*(final_df!$AM$2:$AM$100=I$1))</f>
        <v>5</v>
      </c>
    </row>
    <row r="40" spans="1:9" x14ac:dyDescent="0.25">
      <c r="A40" s="21"/>
      <c r="B40" t="s">
        <v>444</v>
      </c>
      <c r="C40" s="1" t="s">
        <v>87</v>
      </c>
      <c r="D40" s="4">
        <f>SUMPRODUCT((INDEX(final_df!$B$2:$ZZ$100,,MATCH(C40,final_df!$B$1:$ZZ$1,0))&gt;0)*1)</f>
        <v>20</v>
      </c>
      <c r="E40" s="4">
        <f>SUMPRODUCT((INDEX(final_df!$B$2:$ZZ$100,,MATCH($C40,final_df!$B$1:$ZZ$1,0))&gt;0)*(final_df!$E$2:$E$100=E$1))</f>
        <v>8</v>
      </c>
      <c r="F40" s="4">
        <f>SUMPRODUCT((INDEX(final_df!$B$2:$ZZ$100,,MATCH($C40,final_df!$B$1:$ZZ$1,0))&gt;0)*(final_df!$E$2:$E$100=F$1))</f>
        <v>12</v>
      </c>
      <c r="G40" s="4">
        <f>SUMPRODUCT((INDEX(final_df!$B$2:$ZZ$100,,MATCH($C40,final_df!$B$1:$ZZ$1,0))&gt;0)*(final_df!$AM$2:$AM$100=G$1))</f>
        <v>9</v>
      </c>
      <c r="H40" s="4">
        <f>SUMPRODUCT((INDEX(final_df!$B$2:$ZZ$100,,MATCH($C40,final_df!$B$1:$ZZ$1,0))&gt;0)*(final_df!$AM$2:$AM$100=H$1))</f>
        <v>3</v>
      </c>
      <c r="I40" s="4">
        <f>SUMPRODUCT((INDEX(final_df!$B$2:$ZZ$100,,MATCH($C40,final_df!$B$1:$ZZ$1,0))&gt;0)*(final_df!$AM$2:$AM$100=I$1))</f>
        <v>8</v>
      </c>
    </row>
    <row r="41" spans="1:9" x14ac:dyDescent="0.25">
      <c r="A41" s="21"/>
      <c r="B41" t="s">
        <v>447</v>
      </c>
      <c r="C41" s="1" t="s">
        <v>77</v>
      </c>
      <c r="D41" s="4">
        <f>SUMPRODUCT((INDEX(final_df!$B$2:$ZZ$100,,MATCH(C41,final_df!$B$1:$ZZ$1,0))&gt;0)*1)</f>
        <v>27</v>
      </c>
      <c r="E41" s="4">
        <f>SUMPRODUCT((INDEX(final_df!$B$2:$ZZ$100,,MATCH($C41,final_df!$B$1:$ZZ$1,0))&gt;0)*(final_df!$E$2:$E$100=E$1))</f>
        <v>15</v>
      </c>
      <c r="F41" s="4">
        <f>SUMPRODUCT((INDEX(final_df!$B$2:$ZZ$100,,MATCH($C41,final_df!$B$1:$ZZ$1,0))&gt;0)*(final_df!$E$2:$E$100=F$1))</f>
        <v>12</v>
      </c>
      <c r="G41" s="4">
        <f>SUMPRODUCT((INDEX(final_df!$B$2:$ZZ$100,,MATCH($C41,final_df!$B$1:$ZZ$1,0))&gt;0)*(final_df!$AM$2:$AM$100=G$1))</f>
        <v>9</v>
      </c>
      <c r="H41" s="4">
        <f>SUMPRODUCT((INDEX(final_df!$B$2:$ZZ$100,,MATCH($C41,final_df!$B$1:$ZZ$1,0))&gt;0)*(final_df!$AM$2:$AM$100=H$1))</f>
        <v>10</v>
      </c>
      <c r="I41" s="4">
        <f>SUMPRODUCT((INDEX(final_df!$B$2:$ZZ$100,,MATCH($C41,final_df!$B$1:$ZZ$1,0))&gt;0)*(final_df!$AM$2:$AM$100=I$1))</f>
        <v>8</v>
      </c>
    </row>
    <row r="42" spans="1:9" x14ac:dyDescent="0.25">
      <c r="A42" s="21" t="s">
        <v>400</v>
      </c>
      <c r="B42" t="s">
        <v>401</v>
      </c>
      <c r="C42" s="1" t="s">
        <v>78</v>
      </c>
      <c r="D42" s="4">
        <f>SUMPRODUCT((INDEX(final_df!$B$2:$ZZ$100,,MATCH(C42,final_df!$B$1:$ZZ$1,0))&gt;0)*1)</f>
        <v>25</v>
      </c>
      <c r="E42" s="4">
        <f>SUMPRODUCT((INDEX(final_df!$B$2:$ZZ$100,,MATCH($C42,final_df!$B$1:$ZZ$1,0))&gt;0)*(final_df!$E$2:$E$100=E$1))</f>
        <v>15</v>
      </c>
      <c r="F42" s="4">
        <f>SUMPRODUCT((INDEX(final_df!$B$2:$ZZ$100,,MATCH($C42,final_df!$B$1:$ZZ$1,0))&gt;0)*(final_df!$E$2:$E$100=F$1))</f>
        <v>10</v>
      </c>
      <c r="G42" s="4">
        <f>SUMPRODUCT((INDEX(final_df!$B$2:$ZZ$100,,MATCH($C42,final_df!$B$1:$ZZ$1,0))&gt;0)*(final_df!$AM$2:$AM$100=G$1))</f>
        <v>8</v>
      </c>
      <c r="H42" s="4">
        <f>SUMPRODUCT((INDEX(final_df!$B$2:$ZZ$100,,MATCH($C42,final_df!$B$1:$ZZ$1,0))&gt;0)*(final_df!$AM$2:$AM$100=H$1))</f>
        <v>9</v>
      </c>
      <c r="I42" s="4">
        <f>SUMPRODUCT((INDEX(final_df!$B$2:$ZZ$100,,MATCH($C42,final_df!$B$1:$ZZ$1,0))&gt;0)*(final_df!$AM$2:$AM$100=I$1))</f>
        <v>8</v>
      </c>
    </row>
    <row r="43" spans="1:9" x14ac:dyDescent="0.25">
      <c r="A43" s="21"/>
      <c r="B43" t="s">
        <v>427</v>
      </c>
      <c r="C43" s="1" t="s">
        <v>81</v>
      </c>
      <c r="D43" s="4">
        <f>SUMPRODUCT((INDEX(final_df!$B$2:$ZZ$100,,MATCH(C43,final_df!$B$1:$ZZ$1,0))&gt;0)*1)</f>
        <v>13</v>
      </c>
      <c r="E43" s="4">
        <f>SUMPRODUCT((INDEX(final_df!$B$2:$ZZ$100,,MATCH($C43,final_df!$B$1:$ZZ$1,0))&gt;0)*(final_df!$E$2:$E$100=E$1))</f>
        <v>8</v>
      </c>
      <c r="F43" s="4">
        <f>SUMPRODUCT((INDEX(final_df!$B$2:$ZZ$100,,MATCH($C43,final_df!$B$1:$ZZ$1,0))&gt;0)*(final_df!$E$2:$E$100=F$1))</f>
        <v>5</v>
      </c>
      <c r="G43" s="4">
        <f>SUMPRODUCT((INDEX(final_df!$B$2:$ZZ$100,,MATCH($C43,final_df!$B$1:$ZZ$1,0))&gt;0)*(final_df!$AM$2:$AM$100=G$1))</f>
        <v>3</v>
      </c>
      <c r="H43" s="4">
        <f>SUMPRODUCT((INDEX(final_df!$B$2:$ZZ$100,,MATCH($C43,final_df!$B$1:$ZZ$1,0))&gt;0)*(final_df!$AM$2:$AM$100=H$1))</f>
        <v>8</v>
      </c>
      <c r="I43" s="4">
        <f>SUMPRODUCT((INDEX(final_df!$B$2:$ZZ$100,,MATCH($C43,final_df!$B$1:$ZZ$1,0))&gt;0)*(final_df!$AM$2:$AM$100=I$1))</f>
        <v>2</v>
      </c>
    </row>
    <row r="44" spans="1:9" x14ac:dyDescent="0.25">
      <c r="A44" s="21"/>
      <c r="B44" t="s">
        <v>399</v>
      </c>
      <c r="C44" s="1" t="s">
        <v>52</v>
      </c>
      <c r="D44" s="4">
        <f>SUMPRODUCT((INDEX(final_df!$B$2:$ZZ$100,,MATCH(C44,final_df!$B$1:$ZZ$1,0))&gt;0)*1)</f>
        <v>23</v>
      </c>
      <c r="E44" s="4">
        <f>SUMPRODUCT((INDEX(final_df!$B$2:$ZZ$100,,MATCH($C44,final_df!$B$1:$ZZ$1,0))&gt;0)*(final_df!$E$2:$E$100=E$1))</f>
        <v>12</v>
      </c>
      <c r="F44" s="4">
        <f>SUMPRODUCT((INDEX(final_df!$B$2:$ZZ$100,,MATCH($C44,final_df!$B$1:$ZZ$1,0))&gt;0)*(final_df!$E$2:$E$100=F$1))</f>
        <v>11</v>
      </c>
      <c r="G44" s="4">
        <f>SUMPRODUCT((INDEX(final_df!$B$2:$ZZ$100,,MATCH($C44,final_df!$B$1:$ZZ$1,0))&gt;0)*(final_df!$AM$2:$AM$100=G$1))</f>
        <v>7</v>
      </c>
      <c r="H44" s="4">
        <f>SUMPRODUCT((INDEX(final_df!$B$2:$ZZ$100,,MATCH($C44,final_df!$B$1:$ZZ$1,0))&gt;0)*(final_df!$AM$2:$AM$100=H$1))</f>
        <v>11</v>
      </c>
      <c r="I44" s="4">
        <f>SUMPRODUCT((INDEX(final_df!$B$2:$ZZ$100,,MATCH($C44,final_df!$B$1:$ZZ$1,0))&gt;0)*(final_df!$AM$2:$AM$100=I$1))</f>
        <v>5</v>
      </c>
    </row>
    <row r="45" spans="1:9" x14ac:dyDescent="0.25">
      <c r="A45" s="21"/>
      <c r="B45" t="s">
        <v>403</v>
      </c>
      <c r="C45" s="1" t="s">
        <v>88</v>
      </c>
      <c r="D45" s="4">
        <f>SUMPRODUCT((INDEX(final_df!$B$2:$ZZ$100,,MATCH(C45,final_df!$B$1:$ZZ$1,0))&gt;0)*1)</f>
        <v>13</v>
      </c>
      <c r="E45" s="4">
        <f>SUMPRODUCT((INDEX(final_df!$B$2:$ZZ$100,,MATCH($C45,final_df!$B$1:$ZZ$1,0))&gt;0)*(final_df!$E$2:$E$100=E$1))</f>
        <v>8</v>
      </c>
      <c r="F45" s="4">
        <f>SUMPRODUCT((INDEX(final_df!$B$2:$ZZ$100,,MATCH($C45,final_df!$B$1:$ZZ$1,0))&gt;0)*(final_df!$E$2:$E$100=F$1))</f>
        <v>5</v>
      </c>
      <c r="G45" s="4">
        <f>SUMPRODUCT((INDEX(final_df!$B$2:$ZZ$100,,MATCH($C45,final_df!$B$1:$ZZ$1,0))&gt;0)*(final_df!$AM$2:$AM$100=G$1))</f>
        <v>0</v>
      </c>
      <c r="H45" s="4">
        <f>SUMPRODUCT((INDEX(final_df!$B$2:$ZZ$100,,MATCH($C45,final_df!$B$1:$ZZ$1,0))&gt;0)*(final_df!$AM$2:$AM$100=H$1))</f>
        <v>8</v>
      </c>
      <c r="I45" s="4">
        <f>SUMPRODUCT((INDEX(final_df!$B$2:$ZZ$100,,MATCH($C45,final_df!$B$1:$ZZ$1,0))&gt;0)*(final_df!$AM$2:$AM$100=I$1))</f>
        <v>5</v>
      </c>
    </row>
    <row r="46" spans="1:9" x14ac:dyDescent="0.25">
      <c r="A46" s="21"/>
      <c r="B46" t="s">
        <v>430</v>
      </c>
      <c r="C46" s="1" t="s">
        <v>82</v>
      </c>
      <c r="D46" s="4">
        <f>SUMPRODUCT((INDEX(final_df!$B$2:$ZZ$100,,MATCH(C46,final_df!$B$1:$ZZ$1,0))&gt;0)*1)</f>
        <v>16</v>
      </c>
      <c r="E46" s="4">
        <f>SUMPRODUCT((INDEX(final_df!$B$2:$ZZ$100,,MATCH($C46,final_df!$B$1:$ZZ$1,0))&gt;0)*(final_df!$E$2:$E$100=E$1))</f>
        <v>7</v>
      </c>
      <c r="F46" s="4">
        <f>SUMPRODUCT((INDEX(final_df!$B$2:$ZZ$100,,MATCH($C46,final_df!$B$1:$ZZ$1,0))&gt;0)*(final_df!$E$2:$E$100=F$1))</f>
        <v>9</v>
      </c>
      <c r="G46" s="4">
        <f>SUMPRODUCT((INDEX(final_df!$B$2:$ZZ$100,,MATCH($C46,final_df!$B$1:$ZZ$1,0))&gt;0)*(final_df!$AM$2:$AM$100=G$1))</f>
        <v>5</v>
      </c>
      <c r="H46" s="4">
        <f>SUMPRODUCT((INDEX(final_df!$B$2:$ZZ$100,,MATCH($C46,final_df!$B$1:$ZZ$1,0))&gt;0)*(final_df!$AM$2:$AM$100=H$1))</f>
        <v>7</v>
      </c>
      <c r="I46" s="4">
        <f>SUMPRODUCT((INDEX(final_df!$B$2:$ZZ$100,,MATCH($C46,final_df!$B$1:$ZZ$1,0))&gt;0)*(final_df!$AM$2:$AM$100=I$1))</f>
        <v>4</v>
      </c>
    </row>
    <row r="47" spans="1:9" x14ac:dyDescent="0.25">
      <c r="A47" s="21"/>
      <c r="B47" t="s">
        <v>448</v>
      </c>
      <c r="C47" s="1" t="s">
        <v>83</v>
      </c>
      <c r="D47" s="4">
        <f>SUMPRODUCT((INDEX(final_df!$B$2:$ZZ$100,,MATCH(C47,final_df!$B$1:$ZZ$1,0))&gt;0)*1)</f>
        <v>14</v>
      </c>
      <c r="E47" s="4">
        <f>SUMPRODUCT((INDEX(final_df!$B$2:$ZZ$100,,MATCH($C47,final_df!$B$1:$ZZ$1,0))&gt;0)*(final_df!$E$2:$E$100=E$1))</f>
        <v>7</v>
      </c>
      <c r="F47" s="4">
        <f>SUMPRODUCT((INDEX(final_df!$B$2:$ZZ$100,,MATCH($C47,final_df!$B$1:$ZZ$1,0))&gt;0)*(final_df!$E$2:$E$100=F$1))</f>
        <v>7</v>
      </c>
      <c r="G47" s="4">
        <f>SUMPRODUCT((INDEX(final_df!$B$2:$ZZ$100,,MATCH($C47,final_df!$B$1:$ZZ$1,0))&gt;0)*(final_df!$AM$2:$AM$100=G$1))</f>
        <v>5</v>
      </c>
      <c r="H47" s="4">
        <f>SUMPRODUCT((INDEX(final_df!$B$2:$ZZ$100,,MATCH($C47,final_df!$B$1:$ZZ$1,0))&gt;0)*(final_df!$AM$2:$AM$100=H$1))</f>
        <v>5</v>
      </c>
      <c r="I47" s="4">
        <f>SUMPRODUCT((INDEX(final_df!$B$2:$ZZ$100,,MATCH($C47,final_df!$B$1:$ZZ$1,0))&gt;0)*(final_df!$AM$2:$AM$100=I$1))</f>
        <v>4</v>
      </c>
    </row>
    <row r="48" spans="1:9" x14ac:dyDescent="0.25">
      <c r="A48" s="21"/>
      <c r="B48" t="s">
        <v>402</v>
      </c>
      <c r="C48" s="1" t="s">
        <v>92</v>
      </c>
      <c r="D48" s="4">
        <f>SUMPRODUCT((INDEX(final_df!$B$2:$ZZ$100,,MATCH(C48,final_df!$B$1:$ZZ$1,0))&gt;0)*1)</f>
        <v>13</v>
      </c>
      <c r="E48" s="4">
        <f>SUMPRODUCT((INDEX(final_df!$B$2:$ZZ$100,,MATCH($C48,final_df!$B$1:$ZZ$1,0))&gt;0)*(final_df!$E$2:$E$100=E$1))</f>
        <v>8</v>
      </c>
      <c r="F48" s="4">
        <f>SUMPRODUCT((INDEX(final_df!$B$2:$ZZ$100,,MATCH($C48,final_df!$B$1:$ZZ$1,0))&gt;0)*(final_df!$E$2:$E$100=F$1))</f>
        <v>5</v>
      </c>
      <c r="G48" s="4">
        <f>SUMPRODUCT((INDEX(final_df!$B$2:$ZZ$100,,MATCH($C48,final_df!$B$1:$ZZ$1,0))&gt;0)*(final_df!$AM$2:$AM$100=G$1))</f>
        <v>3</v>
      </c>
      <c r="H48" s="4">
        <f>SUMPRODUCT((INDEX(final_df!$B$2:$ZZ$100,,MATCH($C48,final_df!$B$1:$ZZ$1,0))&gt;0)*(final_df!$AM$2:$AM$100=H$1))</f>
        <v>4</v>
      </c>
      <c r="I48" s="4">
        <f>SUMPRODUCT((INDEX(final_df!$B$2:$ZZ$100,,MATCH($C48,final_df!$B$1:$ZZ$1,0))&gt;0)*(final_df!$AM$2:$AM$100=I$1))</f>
        <v>6</v>
      </c>
    </row>
    <row r="49" spans="1:9" x14ac:dyDescent="0.25">
      <c r="A49" s="21"/>
      <c r="B49" t="s">
        <v>429</v>
      </c>
      <c r="C49" s="1" t="s">
        <v>89</v>
      </c>
      <c r="D49" s="4">
        <f>SUMPRODUCT((INDEX(final_df!$B$2:$ZZ$100,,MATCH(C49,final_df!$B$1:$ZZ$1,0))&gt;0)*1)</f>
        <v>18</v>
      </c>
      <c r="E49" s="4">
        <f>SUMPRODUCT((INDEX(final_df!$B$2:$ZZ$100,,MATCH($C49,final_df!$B$1:$ZZ$1,0))&gt;0)*(final_df!$E$2:$E$100=E$1))</f>
        <v>10</v>
      </c>
      <c r="F49" s="4">
        <f>SUMPRODUCT((INDEX(final_df!$B$2:$ZZ$100,,MATCH($C49,final_df!$B$1:$ZZ$1,0))&gt;0)*(final_df!$E$2:$E$100=F$1))</f>
        <v>8</v>
      </c>
      <c r="G49" s="4">
        <f>SUMPRODUCT((INDEX(final_df!$B$2:$ZZ$100,,MATCH($C49,final_df!$B$1:$ZZ$1,0))&gt;0)*(final_df!$AM$2:$AM$100=G$1))</f>
        <v>2</v>
      </c>
      <c r="H49" s="4">
        <f>SUMPRODUCT((INDEX(final_df!$B$2:$ZZ$100,,MATCH($C49,final_df!$B$1:$ZZ$1,0))&gt;0)*(final_df!$AM$2:$AM$100=H$1))</f>
        <v>10</v>
      </c>
      <c r="I49" s="4">
        <f>SUMPRODUCT((INDEX(final_df!$B$2:$ZZ$100,,MATCH($C49,final_df!$B$1:$ZZ$1,0))&gt;0)*(final_df!$AM$2:$AM$100=I$1))</f>
        <v>6</v>
      </c>
    </row>
    <row r="50" spans="1:9" x14ac:dyDescent="0.25">
      <c r="A50" s="21" t="s">
        <v>395</v>
      </c>
      <c r="B50" t="s">
        <v>394</v>
      </c>
      <c r="C50" s="1" t="s">
        <v>53</v>
      </c>
      <c r="D50" s="4">
        <f>SUMPRODUCT((INDEX(final_df!$B$2:$ZZ$100,,MATCH(C50,final_df!$B$1:$ZZ$1,0))&gt;0)*1)</f>
        <v>49</v>
      </c>
      <c r="E50" s="4">
        <f>SUMPRODUCT((INDEX(final_df!$B$2:$ZZ$100,,MATCH($C50,final_df!$B$1:$ZZ$1,0))&gt;0)*(final_df!$E$2:$E$100=E$1))</f>
        <v>22</v>
      </c>
      <c r="F50" s="4">
        <f>SUMPRODUCT((INDEX(final_df!$B$2:$ZZ$100,,MATCH($C50,final_df!$B$1:$ZZ$1,0))&gt;0)*(final_df!$E$2:$E$100=F$1))</f>
        <v>27</v>
      </c>
      <c r="G50" s="4">
        <f>SUMPRODUCT((INDEX(final_df!$B$2:$ZZ$100,,MATCH($C50,final_df!$B$1:$ZZ$1,0))&gt;0)*(final_df!$AM$2:$AM$100=G$1))</f>
        <v>17</v>
      </c>
      <c r="H50" s="4">
        <f>SUMPRODUCT((INDEX(final_df!$B$2:$ZZ$100,,MATCH($C50,final_df!$B$1:$ZZ$1,0))&gt;0)*(final_df!$AM$2:$AM$100=H$1))</f>
        <v>15</v>
      </c>
      <c r="I50" s="4">
        <f>SUMPRODUCT((INDEX(final_df!$B$2:$ZZ$100,,MATCH($C50,final_df!$B$1:$ZZ$1,0))&gt;0)*(final_df!$AM$2:$AM$100=I$1))</f>
        <v>17</v>
      </c>
    </row>
    <row r="51" spans="1:9" x14ac:dyDescent="0.25">
      <c r="A51" s="21"/>
      <c r="B51" t="s">
        <v>407</v>
      </c>
      <c r="C51" s="1" t="s">
        <v>80</v>
      </c>
      <c r="D51" s="4">
        <f>SUMPRODUCT((INDEX(final_df!$B$2:$ZZ$100,,MATCH(C51,final_df!$B$1:$ZZ$1,0))&gt;0)*1)</f>
        <v>18</v>
      </c>
      <c r="E51" s="4">
        <f>SUMPRODUCT((INDEX(final_df!$B$2:$ZZ$100,,MATCH($C51,final_df!$B$1:$ZZ$1,0))&gt;0)*(final_df!$E$2:$E$100=E$1))</f>
        <v>7</v>
      </c>
      <c r="F51" s="4">
        <f>SUMPRODUCT((INDEX(final_df!$B$2:$ZZ$100,,MATCH($C51,final_df!$B$1:$ZZ$1,0))&gt;0)*(final_df!$E$2:$E$100=F$1))</f>
        <v>11</v>
      </c>
      <c r="G51" s="4">
        <f>SUMPRODUCT((INDEX(final_df!$B$2:$ZZ$100,,MATCH($C51,final_df!$B$1:$ZZ$1,0))&gt;0)*(final_df!$AM$2:$AM$100=G$1))</f>
        <v>5</v>
      </c>
      <c r="H51" s="4">
        <f>SUMPRODUCT((INDEX(final_df!$B$2:$ZZ$100,,MATCH($C51,final_df!$B$1:$ZZ$1,0))&gt;0)*(final_df!$AM$2:$AM$100=H$1))</f>
        <v>7</v>
      </c>
      <c r="I51" s="4">
        <f>SUMPRODUCT((INDEX(final_df!$B$2:$ZZ$100,,MATCH($C51,final_df!$B$1:$ZZ$1,0))&gt;0)*(final_df!$AM$2:$AM$100=I$1))</f>
        <v>6</v>
      </c>
    </row>
    <row r="52" spans="1:9" x14ac:dyDescent="0.25">
      <c r="A52" s="21"/>
      <c r="B52" t="s">
        <v>436</v>
      </c>
      <c r="C52" s="1" t="s">
        <v>54</v>
      </c>
      <c r="D52" s="4">
        <f>SUMPRODUCT((INDEX(final_df!$B$2:$ZZ$100,,MATCH(C52,final_df!$B$1:$ZZ$1,0))&gt;0)*1)</f>
        <v>27</v>
      </c>
      <c r="E52" s="4">
        <f>SUMPRODUCT((INDEX(final_df!$B$2:$ZZ$100,,MATCH($C52,final_df!$B$1:$ZZ$1,0))&gt;0)*(final_df!$E$2:$E$100=E$1))</f>
        <v>13</v>
      </c>
      <c r="F52" s="4">
        <f>SUMPRODUCT((INDEX(final_df!$B$2:$ZZ$100,,MATCH($C52,final_df!$B$1:$ZZ$1,0))&gt;0)*(final_df!$E$2:$E$100=F$1))</f>
        <v>14</v>
      </c>
      <c r="G52" s="4">
        <f>SUMPRODUCT((INDEX(final_df!$B$2:$ZZ$100,,MATCH($C52,final_df!$B$1:$ZZ$1,0))&gt;0)*(final_df!$AM$2:$AM$100=G$1))</f>
        <v>10</v>
      </c>
      <c r="H52" s="4">
        <f>SUMPRODUCT((INDEX(final_df!$B$2:$ZZ$100,,MATCH($C52,final_df!$B$1:$ZZ$1,0))&gt;0)*(final_df!$AM$2:$AM$100=H$1))</f>
        <v>8</v>
      </c>
      <c r="I52" s="4">
        <f>SUMPRODUCT((INDEX(final_df!$B$2:$ZZ$100,,MATCH($C52,final_df!$B$1:$ZZ$1,0))&gt;0)*(final_df!$AM$2:$AM$100=I$1))</f>
        <v>9</v>
      </c>
    </row>
    <row r="53" spans="1:9" x14ac:dyDescent="0.25">
      <c r="A53" s="21"/>
      <c r="B53" t="s">
        <v>435</v>
      </c>
      <c r="C53" s="1" t="s">
        <v>55</v>
      </c>
      <c r="D53" s="4">
        <f>SUMPRODUCT((INDEX(final_df!$B$2:$ZZ$100,,MATCH(C53,final_df!$B$1:$ZZ$1,0))&gt;0)*1)</f>
        <v>40</v>
      </c>
      <c r="E53" s="4">
        <f>SUMPRODUCT((INDEX(final_df!$B$2:$ZZ$100,,MATCH($C53,final_df!$B$1:$ZZ$1,0))&gt;0)*(final_df!$E$2:$E$100=E$1))</f>
        <v>18</v>
      </c>
      <c r="F53" s="4">
        <f>SUMPRODUCT((INDEX(final_df!$B$2:$ZZ$100,,MATCH($C53,final_df!$B$1:$ZZ$1,0))&gt;0)*(final_df!$E$2:$E$100=F$1))</f>
        <v>22</v>
      </c>
      <c r="G53" s="4">
        <f>SUMPRODUCT((INDEX(final_df!$B$2:$ZZ$100,,MATCH($C53,final_df!$B$1:$ZZ$1,0))&gt;0)*(final_df!$AM$2:$AM$100=G$1))</f>
        <v>14</v>
      </c>
      <c r="H53" s="4">
        <f>SUMPRODUCT((INDEX(final_df!$B$2:$ZZ$100,,MATCH($C53,final_df!$B$1:$ZZ$1,0))&gt;0)*(final_df!$AM$2:$AM$100=H$1))</f>
        <v>14</v>
      </c>
      <c r="I53" s="4">
        <f>SUMPRODUCT((INDEX(final_df!$B$2:$ZZ$100,,MATCH($C53,final_df!$B$1:$ZZ$1,0))&gt;0)*(final_df!$AM$2:$AM$100=I$1))</f>
        <v>12</v>
      </c>
    </row>
    <row r="54" spans="1:9" x14ac:dyDescent="0.25">
      <c r="A54" s="21"/>
      <c r="B54" t="s">
        <v>408</v>
      </c>
      <c r="C54" s="1" t="s">
        <v>79</v>
      </c>
      <c r="D54" s="4">
        <f>SUMPRODUCT((INDEX(final_df!$B$2:$ZZ$100,,MATCH(C54,final_df!$B$1:$ZZ$1,0))&gt;0)*1)</f>
        <v>36</v>
      </c>
      <c r="E54" s="4">
        <f>SUMPRODUCT((INDEX(final_df!$B$2:$ZZ$100,,MATCH($C54,final_df!$B$1:$ZZ$1,0))&gt;0)*(final_df!$E$2:$E$100=E$1))</f>
        <v>13</v>
      </c>
      <c r="F54" s="4">
        <f>SUMPRODUCT((INDEX(final_df!$B$2:$ZZ$100,,MATCH($C54,final_df!$B$1:$ZZ$1,0))&gt;0)*(final_df!$E$2:$E$100=F$1))</f>
        <v>23</v>
      </c>
      <c r="G54" s="4">
        <f>SUMPRODUCT((INDEX(final_df!$B$2:$ZZ$100,,MATCH($C54,final_df!$B$1:$ZZ$1,0))&gt;0)*(final_df!$AM$2:$AM$100=G$1))</f>
        <v>14</v>
      </c>
      <c r="H54" s="4">
        <f>SUMPRODUCT((INDEX(final_df!$B$2:$ZZ$100,,MATCH($C54,final_df!$B$1:$ZZ$1,0))&gt;0)*(final_df!$AM$2:$AM$100=H$1))</f>
        <v>11</v>
      </c>
      <c r="I54" s="4">
        <f>SUMPRODUCT((INDEX(final_df!$B$2:$ZZ$100,,MATCH($C54,final_df!$B$1:$ZZ$1,0))&gt;0)*(final_df!$AM$2:$AM$100=I$1))</f>
        <v>11</v>
      </c>
    </row>
  </sheetData>
  <autoFilter ref="A1:C1">
    <sortState ref="A2:C55">
      <sortCondition ref="C1"/>
    </sortState>
  </autoFilter>
  <mergeCells count="12">
    <mergeCell ref="A50:A54"/>
    <mergeCell ref="A2:A5"/>
    <mergeCell ref="A6:A7"/>
    <mergeCell ref="A8:A12"/>
    <mergeCell ref="A14:A15"/>
    <mergeCell ref="A16:A18"/>
    <mergeCell ref="A19:A20"/>
    <mergeCell ref="A21:A26"/>
    <mergeCell ref="A27:A30"/>
    <mergeCell ref="A31:A35"/>
    <mergeCell ref="A36:A41"/>
    <mergeCell ref="A42:A49"/>
  </mergeCells>
  <pageMargins left="0.7" right="0.7" top="0.75" bottom="0.75" header="0.3" footer="0.3"/>
  <pageSetup orientation="portrait" horizontalDpi="2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workbookViewId="0">
      <selection activeCell="B2" sqref="A2:XFD5"/>
    </sheetView>
  </sheetViews>
  <sheetFormatPr defaultRowHeight="15" x14ac:dyDescent="0.25"/>
  <cols>
    <col min="1" max="1" width="31" style="19" bestFit="1" customWidth="1"/>
    <col min="2" max="2" width="47.28515625" style="4" bestFit="1" customWidth="1"/>
    <col min="3" max="3" width="75.85546875" style="4" hidden="1" customWidth="1"/>
    <col min="4" max="4" width="9.28515625" style="4" bestFit="1" customWidth="1"/>
    <col min="5" max="7" width="9.140625" style="4"/>
    <col min="8" max="8" width="15.5703125" style="4" bestFit="1" customWidth="1"/>
    <col min="9" max="9" width="10.7109375" style="4" bestFit="1" customWidth="1"/>
    <col min="10" max="16384" width="9.140625" style="4"/>
  </cols>
  <sheetData>
    <row r="1" spans="1:9" x14ac:dyDescent="0.25">
      <c r="A1" s="20" t="s">
        <v>382</v>
      </c>
      <c r="B1" s="4" t="s">
        <v>381</v>
      </c>
      <c r="C1" s="4" t="s">
        <v>383</v>
      </c>
      <c r="D1" s="4" t="s">
        <v>449</v>
      </c>
      <c r="E1" s="4" t="s">
        <v>148</v>
      </c>
      <c r="F1" s="4" t="s">
        <v>98</v>
      </c>
      <c r="G1" s="4" t="s">
        <v>113</v>
      </c>
      <c r="H1" s="4" t="s">
        <v>126</v>
      </c>
      <c r="I1" s="4" t="s">
        <v>144</v>
      </c>
    </row>
    <row r="2" spans="1:9" x14ac:dyDescent="0.25">
      <c r="A2" s="21" t="s">
        <v>385</v>
      </c>
      <c r="B2" s="4" t="s">
        <v>384</v>
      </c>
      <c r="C2" s="1" t="s">
        <v>58</v>
      </c>
      <c r="D2" s="5">
        <f>SUMPRODUCT((INDEX(final_df!$B$2:$ZZ$100,,MATCH(C2,final_df!$B$1:$ZZ$1,0))&gt;0)*1)/56</f>
        <v>0.4107142857142857</v>
      </c>
      <c r="E2" s="5">
        <f>SUMPRODUCT((INDEX(final_df!$B$2:$ZZ$100,,MATCH($C2,final_df!$B$1:$ZZ$1,0))&gt;0)*(final_df!$E$2:$E$100=E$1)) /COUNTIF(final_df!$E$2:$E$100, E$1)</f>
        <v>0.5714285714285714</v>
      </c>
      <c r="F2" s="5">
        <f>SUMPRODUCT((INDEX(final_df!$B$2:$ZZ$100,,MATCH($C2,final_df!$B$1:$ZZ$1,0))&gt;0)*(final_df!$E$2:$E$100=F$1)) /COUNTIF(final_df!$E$2:$E$100, F$1)</f>
        <v>0.25</v>
      </c>
      <c r="G2" s="5">
        <f>SUMPRODUCT((INDEX(final_df!$B$2:$ZZ$100,,MATCH($C2,final_df!$B$1:$ZZ$1,0))&gt;0)*(final_df!$AM$2:$AM$100=G$1)) /COUNTIF(final_df!$AM$2:$AM$100, G$1)</f>
        <v>0.16666666666666666</v>
      </c>
      <c r="H2" s="5">
        <f>SUMPRODUCT((INDEX(final_df!$B$2:$ZZ$100,,MATCH($C2,final_df!$B$1:$ZZ$1,0))&gt;0)*(final_df!$AM$2:$AM$100=H$1)) /COUNTIF(final_df!$AM$2:$AM$100, H$1)</f>
        <v>0.63157894736842102</v>
      </c>
      <c r="I2" s="5">
        <f>SUMPRODUCT((INDEX(final_df!$B$2:$ZZ$100,,MATCH($C2,final_df!$B$1:$ZZ$1,0))&gt;0)*(final_df!$AM$2:$AM$100=I$1)) /COUNTIF(final_df!$AM$2:$AM$100, I$1)</f>
        <v>0.42105263157894735</v>
      </c>
    </row>
    <row r="3" spans="1:9" x14ac:dyDescent="0.25">
      <c r="A3" s="21"/>
      <c r="B3" s="4" t="s">
        <v>388</v>
      </c>
      <c r="C3" s="1" t="s">
        <v>41</v>
      </c>
      <c r="D3" s="5">
        <f>SUMPRODUCT((INDEX(final_df!$B$2:$ZZ$100,,MATCH(C3,final_df!$B$1:$ZZ$1,0))&gt;0)*1)/56</f>
        <v>0.5</v>
      </c>
      <c r="E3" s="5">
        <f>SUMPRODUCT((INDEX(final_df!$B$2:$ZZ$100,,MATCH($C3,final_df!$B$1:$ZZ$1,0))&gt;0)*(final_df!$E$2:$E$100=E$1)) /COUNTIF(final_df!$E$2:$E$100, E$1)</f>
        <v>0.2857142857142857</v>
      </c>
      <c r="F3" s="5">
        <f>SUMPRODUCT((INDEX(final_df!$B$2:$ZZ$100,,MATCH($C3,final_df!$B$1:$ZZ$1,0))&gt;0)*(final_df!$E$2:$E$100=F$1)) /COUNTIF(final_df!$E$2:$E$100, F$1)</f>
        <v>0.7142857142857143</v>
      </c>
      <c r="G3" s="5">
        <f>SUMPRODUCT((INDEX(final_df!$B$2:$ZZ$100,,MATCH($C3,final_df!$B$1:$ZZ$1,0))&gt;0)*(final_df!$AM$2:$AM$100=G$1)) /COUNTIF(final_df!$AM$2:$AM$100, G$1)</f>
        <v>0.61111111111111116</v>
      </c>
      <c r="H3" s="5">
        <f>SUMPRODUCT((INDEX(final_df!$B$2:$ZZ$100,,MATCH($C3,final_df!$B$1:$ZZ$1,0))&gt;0)*(final_df!$AM$2:$AM$100=H$1)) /COUNTIF(final_df!$AM$2:$AM$100, H$1)</f>
        <v>0.31578947368421051</v>
      </c>
      <c r="I3" s="5">
        <f>SUMPRODUCT((INDEX(final_df!$B$2:$ZZ$100,,MATCH($C3,final_df!$B$1:$ZZ$1,0))&gt;0)*(final_df!$AM$2:$AM$100=I$1)) /COUNTIF(final_df!$AM$2:$AM$100, I$1)</f>
        <v>0.57894736842105265</v>
      </c>
    </row>
    <row r="4" spans="1:9" x14ac:dyDescent="0.25">
      <c r="A4" s="21"/>
      <c r="B4" s="4" t="s">
        <v>386</v>
      </c>
      <c r="C4" s="1" t="s">
        <v>59</v>
      </c>
      <c r="D4" s="5">
        <f>SUMPRODUCT((INDEX(final_df!$B$2:$ZZ$100,,MATCH(C4,final_df!$B$1:$ZZ$1,0))&gt;0)*1)/56</f>
        <v>7.1428571428571425E-2</v>
      </c>
      <c r="E4" s="5">
        <f>SUMPRODUCT((INDEX(final_df!$B$2:$ZZ$100,,MATCH($C4,final_df!$B$1:$ZZ$1,0))&gt;0)*(final_df!$E$2:$E$100=E$1)) /COUNTIF(final_df!$E$2:$E$100, E$1)</f>
        <v>7.1428571428571425E-2</v>
      </c>
      <c r="F4" s="5">
        <f>SUMPRODUCT((INDEX(final_df!$B$2:$ZZ$100,,MATCH($C4,final_df!$B$1:$ZZ$1,0))&gt;0)*(final_df!$E$2:$E$100=F$1)) /COUNTIF(final_df!$E$2:$E$100, F$1)</f>
        <v>7.1428571428571425E-2</v>
      </c>
      <c r="G4" s="5">
        <f>SUMPRODUCT((INDEX(final_df!$B$2:$ZZ$100,,MATCH($C4,final_df!$B$1:$ZZ$1,0))&gt;0)*(final_df!$AM$2:$AM$100=G$1)) /COUNTIF(final_df!$AM$2:$AM$100, G$1)</f>
        <v>0</v>
      </c>
      <c r="H4" s="5">
        <f>SUMPRODUCT((INDEX(final_df!$B$2:$ZZ$100,,MATCH($C4,final_df!$B$1:$ZZ$1,0))&gt;0)*(final_df!$AM$2:$AM$100=H$1)) /COUNTIF(final_df!$AM$2:$AM$100, H$1)</f>
        <v>0.15789473684210525</v>
      </c>
      <c r="I4" s="5">
        <f>SUMPRODUCT((INDEX(final_df!$B$2:$ZZ$100,,MATCH($C4,final_df!$B$1:$ZZ$1,0))&gt;0)*(final_df!$AM$2:$AM$100=I$1)) /COUNTIF(final_df!$AM$2:$AM$100, I$1)</f>
        <v>5.2631578947368418E-2</v>
      </c>
    </row>
    <row r="5" spans="1:9" x14ac:dyDescent="0.25">
      <c r="A5" s="21"/>
      <c r="B5" s="4" t="s">
        <v>387</v>
      </c>
      <c r="C5" s="1" t="s">
        <v>84</v>
      </c>
      <c r="D5" s="5">
        <f>SUMPRODUCT((INDEX(final_df!$B$2:$ZZ$100,,MATCH(C5,final_df!$B$1:$ZZ$1,0))&gt;0)*1)/56</f>
        <v>0.26785714285714285</v>
      </c>
      <c r="E5" s="5">
        <f>SUMPRODUCT((INDEX(final_df!$B$2:$ZZ$100,,MATCH($C5,final_df!$B$1:$ZZ$1,0))&gt;0)*(final_df!$E$2:$E$100=E$1)) /COUNTIF(final_df!$E$2:$E$100, E$1)</f>
        <v>0.32142857142857145</v>
      </c>
      <c r="F5" s="5">
        <f>SUMPRODUCT((INDEX(final_df!$B$2:$ZZ$100,,MATCH($C5,final_df!$B$1:$ZZ$1,0))&gt;0)*(final_df!$E$2:$E$100=F$1)) /COUNTIF(final_df!$E$2:$E$100, F$1)</f>
        <v>0.21428571428571427</v>
      </c>
      <c r="G5" s="5">
        <f>SUMPRODUCT((INDEX(final_df!$B$2:$ZZ$100,,MATCH($C5,final_df!$B$1:$ZZ$1,0))&gt;0)*(final_df!$AM$2:$AM$100=G$1)) /COUNTIF(final_df!$AM$2:$AM$100, G$1)</f>
        <v>0.16666666666666666</v>
      </c>
      <c r="H5" s="5">
        <f>SUMPRODUCT((INDEX(final_df!$B$2:$ZZ$100,,MATCH($C5,final_df!$B$1:$ZZ$1,0))&gt;0)*(final_df!$AM$2:$AM$100=H$1)) /COUNTIF(final_df!$AM$2:$AM$100, H$1)</f>
        <v>0.36842105263157893</v>
      </c>
      <c r="I5" s="5">
        <f>SUMPRODUCT((INDEX(final_df!$B$2:$ZZ$100,,MATCH($C5,final_df!$B$1:$ZZ$1,0))&gt;0)*(final_df!$AM$2:$AM$100=I$1)) /COUNTIF(final_df!$AM$2:$AM$100, I$1)</f>
        <v>0.26315789473684209</v>
      </c>
    </row>
    <row r="6" spans="1:9" x14ac:dyDescent="0.25">
      <c r="A6" s="21" t="s">
        <v>432</v>
      </c>
      <c r="B6" s="4" t="s">
        <v>433</v>
      </c>
      <c r="C6" s="1" t="s">
        <v>85</v>
      </c>
      <c r="D6" s="5">
        <f>SUMPRODUCT((INDEX(final_df!$B$2:$ZZ$100,,MATCH(C6,final_df!$B$1:$ZZ$1,0))&gt;0)*1)/56</f>
        <v>0.5178571428571429</v>
      </c>
      <c r="E6" s="5">
        <f>SUMPRODUCT((INDEX(final_df!$B$2:$ZZ$100,,MATCH($C6,final_df!$B$1:$ZZ$1,0))&gt;0)*(final_df!$E$2:$E$100=E$1)) /COUNTIF(final_df!$E$2:$E$100, E$1)</f>
        <v>0.5357142857142857</v>
      </c>
      <c r="F6" s="5">
        <f>SUMPRODUCT((INDEX(final_df!$B$2:$ZZ$100,,MATCH($C6,final_df!$B$1:$ZZ$1,0))&gt;0)*(final_df!$E$2:$E$100=F$1)) /COUNTIF(final_df!$E$2:$E$100, F$1)</f>
        <v>0.5</v>
      </c>
      <c r="G6" s="5">
        <f>SUMPRODUCT((INDEX(final_df!$B$2:$ZZ$100,,MATCH($C6,final_df!$B$1:$ZZ$1,0))&gt;0)*(final_df!$AM$2:$AM$100=G$1)) /COUNTIF(final_df!$AM$2:$AM$100, G$1)</f>
        <v>0.5</v>
      </c>
      <c r="H6" s="5">
        <f>SUMPRODUCT((INDEX(final_df!$B$2:$ZZ$100,,MATCH($C6,final_df!$B$1:$ZZ$1,0))&gt;0)*(final_df!$AM$2:$AM$100=H$1)) /COUNTIF(final_df!$AM$2:$AM$100, H$1)</f>
        <v>0.63157894736842102</v>
      </c>
      <c r="I6" s="5">
        <f>SUMPRODUCT((INDEX(final_df!$B$2:$ZZ$100,,MATCH($C6,final_df!$B$1:$ZZ$1,0))&gt;0)*(final_df!$AM$2:$AM$100=I$1)) /COUNTIF(final_df!$AM$2:$AM$100, I$1)</f>
        <v>0.42105263157894735</v>
      </c>
    </row>
    <row r="7" spans="1:9" x14ac:dyDescent="0.25">
      <c r="A7" s="21"/>
      <c r="B7" s="4" t="s">
        <v>431</v>
      </c>
      <c r="C7" s="1" t="s">
        <v>60</v>
      </c>
      <c r="D7" s="5">
        <f>SUMPRODUCT((INDEX(final_df!$B$2:$ZZ$100,,MATCH(C7,final_df!$B$1:$ZZ$1,0))&gt;0)*1)/56</f>
        <v>0.6428571428571429</v>
      </c>
      <c r="E7" s="5">
        <f>SUMPRODUCT((INDEX(final_df!$B$2:$ZZ$100,,MATCH($C7,final_df!$B$1:$ZZ$1,0))&gt;0)*(final_df!$E$2:$E$100=E$1)) /COUNTIF(final_df!$E$2:$E$100, E$1)</f>
        <v>0.6428571428571429</v>
      </c>
      <c r="F7" s="5">
        <f>SUMPRODUCT((INDEX(final_df!$B$2:$ZZ$100,,MATCH($C7,final_df!$B$1:$ZZ$1,0))&gt;0)*(final_df!$E$2:$E$100=F$1)) /COUNTIF(final_df!$E$2:$E$100, F$1)</f>
        <v>0.6428571428571429</v>
      </c>
      <c r="G7" s="5">
        <f>SUMPRODUCT((INDEX(final_df!$B$2:$ZZ$100,,MATCH($C7,final_df!$B$1:$ZZ$1,0))&gt;0)*(final_df!$AM$2:$AM$100=G$1)) /COUNTIF(final_df!$AM$2:$AM$100, G$1)</f>
        <v>0.66666666666666663</v>
      </c>
      <c r="H7" s="5">
        <f>SUMPRODUCT((INDEX(final_df!$B$2:$ZZ$100,,MATCH($C7,final_df!$B$1:$ZZ$1,0))&gt;0)*(final_df!$AM$2:$AM$100=H$1)) /COUNTIF(final_df!$AM$2:$AM$100, H$1)</f>
        <v>0.73684210526315785</v>
      </c>
      <c r="I7" s="5">
        <f>SUMPRODUCT((INDEX(final_df!$B$2:$ZZ$100,,MATCH($C7,final_df!$B$1:$ZZ$1,0))&gt;0)*(final_df!$AM$2:$AM$100=I$1)) /COUNTIF(final_df!$AM$2:$AM$100, I$1)</f>
        <v>0.52631578947368418</v>
      </c>
    </row>
    <row r="8" spans="1:9" x14ac:dyDescent="0.25">
      <c r="A8" s="21" t="s">
        <v>413</v>
      </c>
      <c r="B8" s="4" t="s">
        <v>412</v>
      </c>
      <c r="C8" s="1" t="s">
        <v>63</v>
      </c>
      <c r="D8" s="5">
        <f>SUMPRODUCT((INDEX(final_df!$B$2:$ZZ$100,,MATCH(C8,final_df!$B$1:$ZZ$1,0))&gt;0)*1)/56</f>
        <v>0.25</v>
      </c>
      <c r="E8" s="5">
        <f>SUMPRODUCT((INDEX(final_df!$B$2:$ZZ$100,,MATCH($C8,final_df!$B$1:$ZZ$1,0))&gt;0)*(final_df!$E$2:$E$100=E$1)) /COUNTIF(final_df!$E$2:$E$100, E$1)</f>
        <v>0.25</v>
      </c>
      <c r="F8" s="5">
        <f>SUMPRODUCT((INDEX(final_df!$B$2:$ZZ$100,,MATCH($C8,final_df!$B$1:$ZZ$1,0))&gt;0)*(final_df!$E$2:$E$100=F$1)) /COUNTIF(final_df!$E$2:$E$100, F$1)</f>
        <v>0.25</v>
      </c>
      <c r="G8" s="5">
        <f>SUMPRODUCT((INDEX(final_df!$B$2:$ZZ$100,,MATCH($C8,final_df!$B$1:$ZZ$1,0))&gt;0)*(final_df!$AM$2:$AM$100=G$1)) /COUNTIF(final_df!$AM$2:$AM$100, G$1)</f>
        <v>0.3888888888888889</v>
      </c>
      <c r="H8" s="5">
        <f>SUMPRODUCT((INDEX(final_df!$B$2:$ZZ$100,,MATCH($C8,final_df!$B$1:$ZZ$1,0))&gt;0)*(final_df!$AM$2:$AM$100=H$1)) /COUNTIF(final_df!$AM$2:$AM$100, H$1)</f>
        <v>0.31578947368421051</v>
      </c>
      <c r="I8" s="5">
        <f>SUMPRODUCT((INDEX(final_df!$B$2:$ZZ$100,,MATCH($C8,final_df!$B$1:$ZZ$1,0))&gt;0)*(final_df!$AM$2:$AM$100=I$1)) /COUNTIF(final_df!$AM$2:$AM$100, I$1)</f>
        <v>5.2631578947368418E-2</v>
      </c>
    </row>
    <row r="9" spans="1:9" x14ac:dyDescent="0.25">
      <c r="A9" s="21"/>
      <c r="B9" s="4" t="s">
        <v>415</v>
      </c>
      <c r="C9" s="1" t="s">
        <v>94</v>
      </c>
      <c r="D9" s="5">
        <f>SUMPRODUCT((INDEX(final_df!$B$2:$ZZ$100,,MATCH(C9,final_df!$B$1:$ZZ$1,0))&gt;0)*1)/56</f>
        <v>8.9285714285714288E-2</v>
      </c>
      <c r="E9" s="5">
        <f>SUMPRODUCT((INDEX(final_df!$B$2:$ZZ$100,,MATCH($C9,final_df!$B$1:$ZZ$1,0))&gt;0)*(final_df!$E$2:$E$100=E$1)) /COUNTIF(final_df!$E$2:$E$100, E$1)</f>
        <v>3.5714285714285712E-2</v>
      </c>
      <c r="F9" s="5">
        <f>SUMPRODUCT((INDEX(final_df!$B$2:$ZZ$100,,MATCH($C9,final_df!$B$1:$ZZ$1,0))&gt;0)*(final_df!$E$2:$E$100=F$1)) /COUNTIF(final_df!$E$2:$E$100, F$1)</f>
        <v>0.14285714285714285</v>
      </c>
      <c r="G9" s="5">
        <f>SUMPRODUCT((INDEX(final_df!$B$2:$ZZ$100,,MATCH($C9,final_df!$B$1:$ZZ$1,0))&gt;0)*(final_df!$AM$2:$AM$100=G$1)) /COUNTIF(final_df!$AM$2:$AM$100, G$1)</f>
        <v>0.16666666666666666</v>
      </c>
      <c r="H9" s="5">
        <f>SUMPRODUCT((INDEX(final_df!$B$2:$ZZ$100,,MATCH($C9,final_df!$B$1:$ZZ$1,0))&gt;0)*(final_df!$AM$2:$AM$100=H$1)) /COUNTIF(final_df!$AM$2:$AM$100, H$1)</f>
        <v>0.10526315789473684</v>
      </c>
      <c r="I9" s="5">
        <f>SUMPRODUCT((INDEX(final_df!$B$2:$ZZ$100,,MATCH($C9,final_df!$B$1:$ZZ$1,0))&gt;0)*(final_df!$AM$2:$AM$100=I$1)) /COUNTIF(final_df!$AM$2:$AM$100, I$1)</f>
        <v>0</v>
      </c>
    </row>
    <row r="10" spans="1:9" x14ac:dyDescent="0.25">
      <c r="A10" s="21"/>
      <c r="B10" s="4" t="s">
        <v>426</v>
      </c>
      <c r="C10" s="1" t="s">
        <v>61</v>
      </c>
      <c r="D10" s="5">
        <f>SUMPRODUCT((INDEX(final_df!$B$2:$ZZ$100,,MATCH(C10,final_df!$B$1:$ZZ$1,0))&gt;0)*1)/56</f>
        <v>0.26785714285714285</v>
      </c>
      <c r="E10" s="5">
        <f>SUMPRODUCT((INDEX(final_df!$B$2:$ZZ$100,,MATCH($C10,final_df!$B$1:$ZZ$1,0))&gt;0)*(final_df!$E$2:$E$100=E$1)) /COUNTIF(final_df!$E$2:$E$100, E$1)</f>
        <v>0.32142857142857145</v>
      </c>
      <c r="F10" s="5">
        <f>SUMPRODUCT((INDEX(final_df!$B$2:$ZZ$100,,MATCH($C10,final_df!$B$1:$ZZ$1,0))&gt;0)*(final_df!$E$2:$E$100=F$1)) /COUNTIF(final_df!$E$2:$E$100, F$1)</f>
        <v>0.21428571428571427</v>
      </c>
      <c r="G10" s="5">
        <f>SUMPRODUCT((INDEX(final_df!$B$2:$ZZ$100,,MATCH($C10,final_df!$B$1:$ZZ$1,0))&gt;0)*(final_df!$AM$2:$AM$100=G$1)) /COUNTIF(final_df!$AM$2:$AM$100, G$1)</f>
        <v>0.22222222222222221</v>
      </c>
      <c r="H10" s="5">
        <f>SUMPRODUCT((INDEX(final_df!$B$2:$ZZ$100,,MATCH($C10,final_df!$B$1:$ZZ$1,0))&gt;0)*(final_df!$AM$2:$AM$100=H$1)) /COUNTIF(final_df!$AM$2:$AM$100, H$1)</f>
        <v>0.36842105263157893</v>
      </c>
      <c r="I10" s="5">
        <f>SUMPRODUCT((INDEX(final_df!$B$2:$ZZ$100,,MATCH($C10,final_df!$B$1:$ZZ$1,0))&gt;0)*(final_df!$AM$2:$AM$100=I$1)) /COUNTIF(final_df!$AM$2:$AM$100, I$1)</f>
        <v>0.21052631578947367</v>
      </c>
    </row>
    <row r="11" spans="1:9" x14ac:dyDescent="0.25">
      <c r="A11" s="21"/>
      <c r="B11" s="4" t="s">
        <v>414</v>
      </c>
      <c r="C11" s="1" t="s">
        <v>91</v>
      </c>
      <c r="D11" s="5">
        <f>SUMPRODUCT((INDEX(final_df!$B$2:$ZZ$100,,MATCH(C11,final_df!$B$1:$ZZ$1,0))&gt;0)*1)/56</f>
        <v>0.14285714285714285</v>
      </c>
      <c r="E11" s="5">
        <f>SUMPRODUCT((INDEX(final_df!$B$2:$ZZ$100,,MATCH($C11,final_df!$B$1:$ZZ$1,0))&gt;0)*(final_df!$E$2:$E$100=E$1)) /COUNTIF(final_df!$E$2:$E$100, E$1)</f>
        <v>0.17857142857142858</v>
      </c>
      <c r="F11" s="5">
        <f>SUMPRODUCT((INDEX(final_df!$B$2:$ZZ$100,,MATCH($C11,final_df!$B$1:$ZZ$1,0))&gt;0)*(final_df!$E$2:$E$100=F$1)) /COUNTIF(final_df!$E$2:$E$100, F$1)</f>
        <v>0.10714285714285714</v>
      </c>
      <c r="G11" s="5">
        <f>SUMPRODUCT((INDEX(final_df!$B$2:$ZZ$100,,MATCH($C11,final_df!$B$1:$ZZ$1,0))&gt;0)*(final_df!$AM$2:$AM$100=G$1)) /COUNTIF(final_df!$AM$2:$AM$100, G$1)</f>
        <v>0.1111111111111111</v>
      </c>
      <c r="H11" s="5">
        <f>SUMPRODUCT((INDEX(final_df!$B$2:$ZZ$100,,MATCH($C11,final_df!$B$1:$ZZ$1,0))&gt;0)*(final_df!$AM$2:$AM$100=H$1)) /COUNTIF(final_df!$AM$2:$AM$100, H$1)</f>
        <v>0.10526315789473684</v>
      </c>
      <c r="I11" s="5">
        <f>SUMPRODUCT((INDEX(final_df!$B$2:$ZZ$100,,MATCH($C11,final_df!$B$1:$ZZ$1,0))&gt;0)*(final_df!$AM$2:$AM$100=I$1)) /COUNTIF(final_df!$AM$2:$AM$100, I$1)</f>
        <v>0.21052631578947367</v>
      </c>
    </row>
    <row r="12" spans="1:9" x14ac:dyDescent="0.25">
      <c r="A12" s="21"/>
      <c r="B12" s="4" t="s">
        <v>428</v>
      </c>
      <c r="C12" s="1" t="s">
        <v>62</v>
      </c>
      <c r="D12" s="5">
        <f>SUMPRODUCT((INDEX(final_df!$B$2:$ZZ$100,,MATCH(C12,final_df!$B$1:$ZZ$1,0))&gt;0)*1)/56</f>
        <v>0.5178571428571429</v>
      </c>
      <c r="E12" s="5">
        <f>SUMPRODUCT((INDEX(final_df!$B$2:$ZZ$100,,MATCH($C12,final_df!$B$1:$ZZ$1,0))&gt;0)*(final_df!$E$2:$E$100=E$1)) /COUNTIF(final_df!$E$2:$E$100, E$1)</f>
        <v>0.5714285714285714</v>
      </c>
      <c r="F12" s="5">
        <f>SUMPRODUCT((INDEX(final_df!$B$2:$ZZ$100,,MATCH($C12,final_df!$B$1:$ZZ$1,0))&gt;0)*(final_df!$E$2:$E$100=F$1)) /COUNTIF(final_df!$E$2:$E$100, F$1)</f>
        <v>0.4642857142857143</v>
      </c>
      <c r="G12" s="5">
        <f>SUMPRODUCT((INDEX(final_df!$B$2:$ZZ$100,,MATCH($C12,final_df!$B$1:$ZZ$1,0))&gt;0)*(final_df!$AM$2:$AM$100=G$1)) /COUNTIF(final_df!$AM$2:$AM$100, G$1)</f>
        <v>0.44444444444444442</v>
      </c>
      <c r="H12" s="5">
        <f>SUMPRODUCT((INDEX(final_df!$B$2:$ZZ$100,,MATCH($C12,final_df!$B$1:$ZZ$1,0))&gt;0)*(final_df!$AM$2:$AM$100=H$1)) /COUNTIF(final_df!$AM$2:$AM$100, H$1)</f>
        <v>0.52631578947368418</v>
      </c>
      <c r="I12" s="5">
        <f>SUMPRODUCT((INDEX(final_df!$B$2:$ZZ$100,,MATCH($C12,final_df!$B$1:$ZZ$1,0))&gt;0)*(final_df!$AM$2:$AM$100=I$1)) /COUNTIF(final_df!$AM$2:$AM$100, I$1)</f>
        <v>0.57894736842105265</v>
      </c>
    </row>
    <row r="13" spans="1:9" x14ac:dyDescent="0.25">
      <c r="A13" s="19" t="s">
        <v>406</v>
      </c>
      <c r="B13" s="4" t="s">
        <v>406</v>
      </c>
      <c r="C13" s="1" t="s">
        <v>64</v>
      </c>
      <c r="D13" s="5">
        <f>SUMPRODUCT((INDEX(final_df!$B$2:$ZZ$100,,MATCH(C13,final_df!$B$1:$ZZ$1,0))&gt;0)*1)/56</f>
        <v>0.5535714285714286</v>
      </c>
      <c r="E13" s="5">
        <f>SUMPRODUCT((INDEX(final_df!$B$2:$ZZ$100,,MATCH($C13,final_df!$B$1:$ZZ$1,0))&gt;0)*(final_df!$E$2:$E$100=E$1)) /COUNTIF(final_df!$E$2:$E$100, E$1)</f>
        <v>0.5</v>
      </c>
      <c r="F13" s="5">
        <f>SUMPRODUCT((INDEX(final_df!$B$2:$ZZ$100,,MATCH($C13,final_df!$B$1:$ZZ$1,0))&gt;0)*(final_df!$E$2:$E$100=F$1)) /COUNTIF(final_df!$E$2:$E$100, F$1)</f>
        <v>0.6071428571428571</v>
      </c>
      <c r="G13" s="5">
        <f>SUMPRODUCT((INDEX(final_df!$B$2:$ZZ$100,,MATCH($C13,final_df!$B$1:$ZZ$1,0))&gt;0)*(final_df!$AM$2:$AM$100=G$1)) /COUNTIF(final_df!$AM$2:$AM$100, G$1)</f>
        <v>0.27777777777777779</v>
      </c>
      <c r="H13" s="5">
        <f>SUMPRODUCT((INDEX(final_df!$B$2:$ZZ$100,,MATCH($C13,final_df!$B$1:$ZZ$1,0))&gt;0)*(final_df!$AM$2:$AM$100=H$1)) /COUNTIF(final_df!$AM$2:$AM$100, H$1)</f>
        <v>0.68421052631578949</v>
      </c>
      <c r="I13" s="5">
        <f>SUMPRODUCT((INDEX(final_df!$B$2:$ZZ$100,,MATCH($C13,final_df!$B$1:$ZZ$1,0))&gt;0)*(final_df!$AM$2:$AM$100=I$1)) /COUNTIF(final_df!$AM$2:$AM$100, I$1)</f>
        <v>0.68421052631578949</v>
      </c>
    </row>
    <row r="14" spans="1:9" x14ac:dyDescent="0.25">
      <c r="A14" s="21" t="s">
        <v>421</v>
      </c>
      <c r="B14" s="4" t="s">
        <v>420</v>
      </c>
      <c r="C14" s="1" t="s">
        <v>65</v>
      </c>
      <c r="D14" s="5">
        <f>SUMPRODUCT((INDEX(final_df!$B$2:$ZZ$100,,MATCH(C14,final_df!$B$1:$ZZ$1,0))&gt;0)*1)/56</f>
        <v>0.17857142857142858</v>
      </c>
      <c r="E14" s="5">
        <f>SUMPRODUCT((INDEX(final_df!$B$2:$ZZ$100,,MATCH($C14,final_df!$B$1:$ZZ$1,0))&gt;0)*(final_df!$E$2:$E$100=E$1)) /COUNTIF(final_df!$E$2:$E$100, E$1)</f>
        <v>0.14285714285714285</v>
      </c>
      <c r="F14" s="5">
        <f>SUMPRODUCT((INDEX(final_df!$B$2:$ZZ$100,,MATCH($C14,final_df!$B$1:$ZZ$1,0))&gt;0)*(final_df!$E$2:$E$100=F$1)) /COUNTIF(final_df!$E$2:$E$100, F$1)</f>
        <v>0.21428571428571427</v>
      </c>
      <c r="G14" s="5">
        <f>SUMPRODUCT((INDEX(final_df!$B$2:$ZZ$100,,MATCH($C14,final_df!$B$1:$ZZ$1,0))&gt;0)*(final_df!$AM$2:$AM$100=G$1)) /COUNTIF(final_df!$AM$2:$AM$100, G$1)</f>
        <v>0.1111111111111111</v>
      </c>
      <c r="H14" s="5">
        <f>SUMPRODUCT((INDEX(final_df!$B$2:$ZZ$100,,MATCH($C14,final_df!$B$1:$ZZ$1,0))&gt;0)*(final_df!$AM$2:$AM$100=H$1)) /COUNTIF(final_df!$AM$2:$AM$100, H$1)</f>
        <v>0.21052631578947367</v>
      </c>
      <c r="I14" s="5">
        <f>SUMPRODUCT((INDEX(final_df!$B$2:$ZZ$100,,MATCH($C14,final_df!$B$1:$ZZ$1,0))&gt;0)*(final_df!$AM$2:$AM$100=I$1)) /COUNTIF(final_df!$AM$2:$AM$100, I$1)</f>
        <v>0.21052631578947367</v>
      </c>
    </row>
    <row r="15" spans="1:9" x14ac:dyDescent="0.25">
      <c r="A15" s="21"/>
      <c r="B15" s="4" t="s">
        <v>422</v>
      </c>
      <c r="C15" s="1" t="s">
        <v>66</v>
      </c>
      <c r="D15" s="5">
        <f>SUMPRODUCT((INDEX(final_df!$B$2:$ZZ$100,,MATCH(C15,final_df!$B$1:$ZZ$1,0))&gt;0)*1)/56</f>
        <v>0.3392857142857143</v>
      </c>
      <c r="E15" s="5">
        <f>SUMPRODUCT((INDEX(final_df!$B$2:$ZZ$100,,MATCH($C15,final_df!$B$1:$ZZ$1,0))&gt;0)*(final_df!$E$2:$E$100=E$1)) /COUNTIF(final_df!$E$2:$E$100, E$1)</f>
        <v>0.2857142857142857</v>
      </c>
      <c r="F15" s="5">
        <f>SUMPRODUCT((INDEX(final_df!$B$2:$ZZ$100,,MATCH($C15,final_df!$B$1:$ZZ$1,0))&gt;0)*(final_df!$E$2:$E$100=F$1)) /COUNTIF(final_df!$E$2:$E$100, F$1)</f>
        <v>0.39285714285714285</v>
      </c>
      <c r="G15" s="5">
        <f>SUMPRODUCT((INDEX(final_df!$B$2:$ZZ$100,,MATCH($C15,final_df!$B$1:$ZZ$1,0))&gt;0)*(final_df!$AM$2:$AM$100=G$1)) /COUNTIF(final_df!$AM$2:$AM$100, G$1)</f>
        <v>0.22222222222222221</v>
      </c>
      <c r="H15" s="5">
        <f>SUMPRODUCT((INDEX(final_df!$B$2:$ZZ$100,,MATCH($C15,final_df!$B$1:$ZZ$1,0))&gt;0)*(final_df!$AM$2:$AM$100=H$1)) /COUNTIF(final_df!$AM$2:$AM$100, H$1)</f>
        <v>0.31578947368421051</v>
      </c>
      <c r="I15" s="5">
        <f>SUMPRODUCT((INDEX(final_df!$B$2:$ZZ$100,,MATCH($C15,final_df!$B$1:$ZZ$1,0))&gt;0)*(final_df!$AM$2:$AM$100=I$1)) /COUNTIF(final_df!$AM$2:$AM$100, I$1)</f>
        <v>0.47368421052631576</v>
      </c>
    </row>
    <row r="16" spans="1:9" x14ac:dyDescent="0.25">
      <c r="A16" s="21" t="s">
        <v>417</v>
      </c>
      <c r="B16" s="4" t="s">
        <v>416</v>
      </c>
      <c r="C16" s="1" t="s">
        <v>56</v>
      </c>
      <c r="D16" s="5">
        <f>SUMPRODUCT((INDEX(final_df!$B$2:$ZZ$100,,MATCH(C16,final_df!$B$1:$ZZ$1,0))&gt;0)*1)/56</f>
        <v>0.375</v>
      </c>
      <c r="E16" s="5">
        <f>SUMPRODUCT((INDEX(final_df!$B$2:$ZZ$100,,MATCH($C16,final_df!$B$1:$ZZ$1,0))&gt;0)*(final_df!$E$2:$E$100=E$1)) /COUNTIF(final_df!$E$2:$E$100, E$1)</f>
        <v>0.25</v>
      </c>
      <c r="F16" s="5">
        <f>SUMPRODUCT((INDEX(final_df!$B$2:$ZZ$100,,MATCH($C16,final_df!$B$1:$ZZ$1,0))&gt;0)*(final_df!$E$2:$E$100=F$1)) /COUNTIF(final_df!$E$2:$E$100, F$1)</f>
        <v>0.5</v>
      </c>
      <c r="G16" s="5">
        <f>SUMPRODUCT((INDEX(final_df!$B$2:$ZZ$100,,MATCH($C16,final_df!$B$1:$ZZ$1,0))&gt;0)*(final_df!$AM$2:$AM$100=G$1)) /COUNTIF(final_df!$AM$2:$AM$100, G$1)</f>
        <v>0.55555555555555558</v>
      </c>
      <c r="H16" s="5">
        <f>SUMPRODUCT((INDEX(final_df!$B$2:$ZZ$100,,MATCH($C16,final_df!$B$1:$ZZ$1,0))&gt;0)*(final_df!$AM$2:$AM$100=H$1)) /COUNTIF(final_df!$AM$2:$AM$100, H$1)</f>
        <v>0.36842105263157893</v>
      </c>
      <c r="I16" s="5">
        <f>SUMPRODUCT((INDEX(final_df!$B$2:$ZZ$100,,MATCH($C16,final_df!$B$1:$ZZ$1,0))&gt;0)*(final_df!$AM$2:$AM$100=I$1)) /COUNTIF(final_df!$AM$2:$AM$100, I$1)</f>
        <v>0.21052631578947367</v>
      </c>
    </row>
    <row r="17" spans="1:9" x14ac:dyDescent="0.25">
      <c r="A17" s="21"/>
      <c r="B17" s="4" t="s">
        <v>418</v>
      </c>
      <c r="C17" s="1" t="s">
        <v>90</v>
      </c>
      <c r="D17" s="5">
        <f>SUMPRODUCT((INDEX(final_df!$B$2:$ZZ$100,,MATCH(C17,final_df!$B$1:$ZZ$1,0))&gt;0)*1)/56</f>
        <v>7.1428571428571425E-2</v>
      </c>
      <c r="E17" s="5">
        <f>SUMPRODUCT((INDEX(final_df!$B$2:$ZZ$100,,MATCH($C17,final_df!$B$1:$ZZ$1,0))&gt;0)*(final_df!$E$2:$E$100=E$1)) /COUNTIF(final_df!$E$2:$E$100, E$1)</f>
        <v>7.1428571428571425E-2</v>
      </c>
      <c r="F17" s="5">
        <f>SUMPRODUCT((INDEX(final_df!$B$2:$ZZ$100,,MATCH($C17,final_df!$B$1:$ZZ$1,0))&gt;0)*(final_df!$E$2:$E$100=F$1)) /COUNTIF(final_df!$E$2:$E$100, F$1)</f>
        <v>7.1428571428571425E-2</v>
      </c>
      <c r="G17" s="5">
        <f>SUMPRODUCT((INDEX(final_df!$B$2:$ZZ$100,,MATCH($C17,final_df!$B$1:$ZZ$1,0))&gt;0)*(final_df!$AM$2:$AM$100=G$1)) /COUNTIF(final_df!$AM$2:$AM$100, G$1)</f>
        <v>0.1111111111111111</v>
      </c>
      <c r="H17" s="5">
        <f>SUMPRODUCT((INDEX(final_df!$B$2:$ZZ$100,,MATCH($C17,final_df!$B$1:$ZZ$1,0))&gt;0)*(final_df!$AM$2:$AM$100=H$1)) /COUNTIF(final_df!$AM$2:$AM$100, H$1)</f>
        <v>5.2631578947368418E-2</v>
      </c>
      <c r="I17" s="5">
        <f>SUMPRODUCT((INDEX(final_df!$B$2:$ZZ$100,,MATCH($C17,final_df!$B$1:$ZZ$1,0))&gt;0)*(final_df!$AM$2:$AM$100=I$1)) /COUNTIF(final_df!$AM$2:$AM$100, I$1)</f>
        <v>5.2631578947368418E-2</v>
      </c>
    </row>
    <row r="18" spans="1:9" x14ac:dyDescent="0.25">
      <c r="A18" s="21"/>
      <c r="B18" s="4" t="s">
        <v>419</v>
      </c>
      <c r="C18" s="1" t="s">
        <v>57</v>
      </c>
      <c r="D18" s="5">
        <f>SUMPRODUCT((INDEX(final_df!$B$2:$ZZ$100,,MATCH(C18,final_df!$B$1:$ZZ$1,0))&gt;0)*1)/56</f>
        <v>0.25</v>
      </c>
      <c r="E18" s="5">
        <f>SUMPRODUCT((INDEX(final_df!$B$2:$ZZ$100,,MATCH($C18,final_df!$B$1:$ZZ$1,0))&gt;0)*(final_df!$E$2:$E$100=E$1)) /COUNTIF(final_df!$E$2:$E$100, E$1)</f>
        <v>0.25</v>
      </c>
      <c r="F18" s="5">
        <f>SUMPRODUCT((INDEX(final_df!$B$2:$ZZ$100,,MATCH($C18,final_df!$B$1:$ZZ$1,0))&gt;0)*(final_df!$E$2:$E$100=F$1)) /COUNTIF(final_df!$E$2:$E$100, F$1)</f>
        <v>0.25</v>
      </c>
      <c r="G18" s="5">
        <f>SUMPRODUCT((INDEX(final_df!$B$2:$ZZ$100,,MATCH($C18,final_df!$B$1:$ZZ$1,0))&gt;0)*(final_df!$AM$2:$AM$100=G$1)) /COUNTIF(final_df!$AM$2:$AM$100, G$1)</f>
        <v>0.27777777777777779</v>
      </c>
      <c r="H18" s="5">
        <f>SUMPRODUCT((INDEX(final_df!$B$2:$ZZ$100,,MATCH($C18,final_df!$B$1:$ZZ$1,0))&gt;0)*(final_df!$AM$2:$AM$100=H$1)) /COUNTIF(final_df!$AM$2:$AM$100, H$1)</f>
        <v>0.36842105263157893</v>
      </c>
      <c r="I18" s="5">
        <f>SUMPRODUCT((INDEX(final_df!$B$2:$ZZ$100,,MATCH($C18,final_df!$B$1:$ZZ$1,0))&gt;0)*(final_df!$AM$2:$AM$100=I$1)) /COUNTIF(final_df!$AM$2:$AM$100, I$1)</f>
        <v>0.10526315789473684</v>
      </c>
    </row>
    <row r="19" spans="1:9" x14ac:dyDescent="0.25">
      <c r="A19" s="21" t="s">
        <v>397</v>
      </c>
      <c r="B19" s="4" t="s">
        <v>396</v>
      </c>
      <c r="C19" s="1" t="s">
        <v>42</v>
      </c>
      <c r="D19" s="5">
        <f>SUMPRODUCT((INDEX(final_df!$B$2:$ZZ$100,,MATCH(C19,final_df!$B$1:$ZZ$1,0))&gt;0)*1)/56</f>
        <v>0.9464285714285714</v>
      </c>
      <c r="E19" s="5">
        <f>SUMPRODUCT((INDEX(final_df!$B$2:$ZZ$100,,MATCH($C19,final_df!$B$1:$ZZ$1,0))&gt;0)*(final_df!$E$2:$E$100=E$1)) /COUNTIF(final_df!$E$2:$E$100, E$1)</f>
        <v>0.9642857142857143</v>
      </c>
      <c r="F19" s="5">
        <f>SUMPRODUCT((INDEX(final_df!$B$2:$ZZ$100,,MATCH($C19,final_df!$B$1:$ZZ$1,0))&gt;0)*(final_df!$E$2:$E$100=F$1)) /COUNTIF(final_df!$E$2:$E$100, F$1)</f>
        <v>0.9285714285714286</v>
      </c>
      <c r="G19" s="5">
        <f>SUMPRODUCT((INDEX(final_df!$B$2:$ZZ$100,,MATCH($C19,final_df!$B$1:$ZZ$1,0))&gt;0)*(final_df!$AM$2:$AM$100=G$1)) /COUNTIF(final_df!$AM$2:$AM$100, G$1)</f>
        <v>0.94444444444444442</v>
      </c>
      <c r="H19" s="5">
        <f>SUMPRODUCT((INDEX(final_df!$B$2:$ZZ$100,,MATCH($C19,final_df!$B$1:$ZZ$1,0))&gt;0)*(final_df!$AM$2:$AM$100=H$1)) /COUNTIF(final_df!$AM$2:$AM$100, H$1)</f>
        <v>0.94736842105263153</v>
      </c>
      <c r="I19" s="5">
        <f>SUMPRODUCT((INDEX(final_df!$B$2:$ZZ$100,,MATCH($C19,final_df!$B$1:$ZZ$1,0))&gt;0)*(final_df!$AM$2:$AM$100=I$1)) /COUNTIF(final_df!$AM$2:$AM$100, I$1)</f>
        <v>0.94736842105263153</v>
      </c>
    </row>
    <row r="20" spans="1:9" x14ac:dyDescent="0.25">
      <c r="A20" s="21"/>
      <c r="B20" s="3" t="s">
        <v>398</v>
      </c>
      <c r="C20" s="1" t="s">
        <v>43</v>
      </c>
      <c r="D20" s="5">
        <f>SUMPRODUCT((INDEX(final_df!$B$2:$ZZ$100,,MATCH(C20,final_df!$B$1:$ZZ$1,0))&gt;0)*1)/56</f>
        <v>0.9642857142857143</v>
      </c>
      <c r="E20" s="5">
        <f>SUMPRODUCT((INDEX(final_df!$B$2:$ZZ$100,,MATCH($C20,final_df!$B$1:$ZZ$1,0))&gt;0)*(final_df!$E$2:$E$100=E$1)) /COUNTIF(final_df!$E$2:$E$100, E$1)</f>
        <v>0.9285714285714286</v>
      </c>
      <c r="F20" s="5">
        <f>SUMPRODUCT((INDEX(final_df!$B$2:$ZZ$100,,MATCH($C20,final_df!$B$1:$ZZ$1,0))&gt;0)*(final_df!$E$2:$E$100=F$1)) /COUNTIF(final_df!$E$2:$E$100, F$1)</f>
        <v>1</v>
      </c>
      <c r="G20" s="5">
        <f>SUMPRODUCT((INDEX(final_df!$B$2:$ZZ$100,,MATCH($C20,final_df!$B$1:$ZZ$1,0))&gt;0)*(final_df!$AM$2:$AM$100=G$1)) /COUNTIF(final_df!$AM$2:$AM$100, G$1)</f>
        <v>1</v>
      </c>
      <c r="H20" s="5">
        <f>SUMPRODUCT((INDEX(final_df!$B$2:$ZZ$100,,MATCH($C20,final_df!$B$1:$ZZ$1,0))&gt;0)*(final_df!$AM$2:$AM$100=H$1)) /COUNTIF(final_df!$AM$2:$AM$100, H$1)</f>
        <v>0.94736842105263153</v>
      </c>
      <c r="I20" s="5">
        <f>SUMPRODUCT((INDEX(final_df!$B$2:$ZZ$100,,MATCH($C20,final_df!$B$1:$ZZ$1,0))&gt;0)*(final_df!$AM$2:$AM$100=I$1)) /COUNTIF(final_df!$AM$2:$AM$100, I$1)</f>
        <v>0.94736842105263153</v>
      </c>
    </row>
    <row r="21" spans="1:9" x14ac:dyDescent="0.25">
      <c r="A21" s="21" t="s">
        <v>405</v>
      </c>
      <c r="B21" s="4" t="s">
        <v>409</v>
      </c>
      <c r="C21" s="1" t="s">
        <v>67</v>
      </c>
      <c r="D21" s="5">
        <f>SUMPRODUCT((INDEX(final_df!$B$2:$ZZ$100,,MATCH(C21,final_df!$B$1:$ZZ$1,0))&gt;0)*1)/56</f>
        <v>0.44642857142857145</v>
      </c>
      <c r="E21" s="5">
        <f>SUMPRODUCT((INDEX(final_df!$B$2:$ZZ$100,,MATCH($C21,final_df!$B$1:$ZZ$1,0))&gt;0)*(final_df!$E$2:$E$100=E$1)) /COUNTIF(final_df!$E$2:$E$100, E$1)</f>
        <v>0.39285714285714285</v>
      </c>
      <c r="F21" s="5">
        <f>SUMPRODUCT((INDEX(final_df!$B$2:$ZZ$100,,MATCH($C21,final_df!$B$1:$ZZ$1,0))&gt;0)*(final_df!$E$2:$E$100=F$1)) /COUNTIF(final_df!$E$2:$E$100, F$1)</f>
        <v>0.5</v>
      </c>
      <c r="G21" s="5">
        <f>SUMPRODUCT((INDEX(final_df!$B$2:$ZZ$100,,MATCH($C21,final_df!$B$1:$ZZ$1,0))&gt;0)*(final_df!$AM$2:$AM$100=G$1)) /COUNTIF(final_df!$AM$2:$AM$100, G$1)</f>
        <v>0.33333333333333331</v>
      </c>
      <c r="H21" s="5">
        <f>SUMPRODUCT((INDEX(final_df!$B$2:$ZZ$100,,MATCH($C21,final_df!$B$1:$ZZ$1,0))&gt;0)*(final_df!$AM$2:$AM$100=H$1)) /COUNTIF(final_df!$AM$2:$AM$100, H$1)</f>
        <v>0.63157894736842102</v>
      </c>
      <c r="I21" s="5">
        <f>SUMPRODUCT((INDEX(final_df!$B$2:$ZZ$100,,MATCH($C21,final_df!$B$1:$ZZ$1,0))&gt;0)*(final_df!$AM$2:$AM$100=I$1)) /COUNTIF(final_df!$AM$2:$AM$100, I$1)</f>
        <v>0.36842105263157893</v>
      </c>
    </row>
    <row r="22" spans="1:9" x14ac:dyDescent="0.25">
      <c r="A22" s="21"/>
      <c r="B22" s="4" t="s">
        <v>404</v>
      </c>
      <c r="C22" s="1" t="s">
        <v>44</v>
      </c>
      <c r="D22" s="5">
        <f>SUMPRODUCT((INDEX(final_df!$B$2:$ZZ$100,,MATCH(C22,final_df!$B$1:$ZZ$1,0))&gt;0)*1)/56</f>
        <v>0.75</v>
      </c>
      <c r="E22" s="5">
        <f>SUMPRODUCT((INDEX(final_df!$B$2:$ZZ$100,,MATCH($C22,final_df!$B$1:$ZZ$1,0))&gt;0)*(final_df!$E$2:$E$100=E$1)) /COUNTIF(final_df!$E$2:$E$100, E$1)</f>
        <v>0.75</v>
      </c>
      <c r="F22" s="5">
        <f>SUMPRODUCT((INDEX(final_df!$B$2:$ZZ$100,,MATCH($C22,final_df!$B$1:$ZZ$1,0))&gt;0)*(final_df!$E$2:$E$100=F$1)) /COUNTIF(final_df!$E$2:$E$100, F$1)</f>
        <v>0.75</v>
      </c>
      <c r="G22" s="5">
        <f>SUMPRODUCT((INDEX(final_df!$B$2:$ZZ$100,,MATCH($C22,final_df!$B$1:$ZZ$1,0))&gt;0)*(final_df!$AM$2:$AM$100=G$1)) /COUNTIF(final_df!$AM$2:$AM$100, G$1)</f>
        <v>0.88888888888888884</v>
      </c>
      <c r="H22" s="5">
        <f>SUMPRODUCT((INDEX(final_df!$B$2:$ZZ$100,,MATCH($C22,final_df!$B$1:$ZZ$1,0))&gt;0)*(final_df!$AM$2:$AM$100=H$1)) /COUNTIF(final_df!$AM$2:$AM$100, H$1)</f>
        <v>0.73684210526315785</v>
      </c>
      <c r="I22" s="5">
        <f>SUMPRODUCT((INDEX(final_df!$B$2:$ZZ$100,,MATCH($C22,final_df!$B$1:$ZZ$1,0))&gt;0)*(final_df!$AM$2:$AM$100=I$1)) /COUNTIF(final_df!$AM$2:$AM$100, I$1)</f>
        <v>0.63157894736842102</v>
      </c>
    </row>
    <row r="23" spans="1:9" x14ac:dyDescent="0.25">
      <c r="A23" s="21"/>
      <c r="B23" s="4" t="s">
        <v>425</v>
      </c>
      <c r="C23" s="1" t="s">
        <v>45</v>
      </c>
      <c r="D23" s="5">
        <f>SUMPRODUCT((INDEX(final_df!$B$2:$ZZ$100,,MATCH(C23,final_df!$B$1:$ZZ$1,0))&gt;0)*1)/56</f>
        <v>0.5</v>
      </c>
      <c r="E23" s="5">
        <f>SUMPRODUCT((INDEX(final_df!$B$2:$ZZ$100,,MATCH($C23,final_df!$B$1:$ZZ$1,0))&gt;0)*(final_df!$E$2:$E$100=E$1)) /COUNTIF(final_df!$E$2:$E$100, E$1)</f>
        <v>0.4642857142857143</v>
      </c>
      <c r="F23" s="5">
        <f>SUMPRODUCT((INDEX(final_df!$B$2:$ZZ$100,,MATCH($C23,final_df!$B$1:$ZZ$1,0))&gt;0)*(final_df!$E$2:$E$100=F$1)) /COUNTIF(final_df!$E$2:$E$100, F$1)</f>
        <v>0.5357142857142857</v>
      </c>
      <c r="G23" s="5">
        <f>SUMPRODUCT((INDEX(final_df!$B$2:$ZZ$100,,MATCH($C23,final_df!$B$1:$ZZ$1,0))&gt;0)*(final_df!$AM$2:$AM$100=G$1)) /COUNTIF(final_df!$AM$2:$AM$100, G$1)</f>
        <v>0.55555555555555558</v>
      </c>
      <c r="H23" s="5">
        <f>SUMPRODUCT((INDEX(final_df!$B$2:$ZZ$100,,MATCH($C23,final_df!$B$1:$ZZ$1,0))&gt;0)*(final_df!$AM$2:$AM$100=H$1)) /COUNTIF(final_df!$AM$2:$AM$100, H$1)</f>
        <v>0.68421052631578949</v>
      </c>
      <c r="I23" s="5">
        <f>SUMPRODUCT((INDEX(final_df!$B$2:$ZZ$100,,MATCH($C23,final_df!$B$1:$ZZ$1,0))&gt;0)*(final_df!$AM$2:$AM$100=I$1)) /COUNTIF(final_df!$AM$2:$AM$100, I$1)</f>
        <v>0.26315789473684209</v>
      </c>
    </row>
    <row r="24" spans="1:9" x14ac:dyDescent="0.25">
      <c r="A24" s="21"/>
      <c r="B24" s="4" t="s">
        <v>434</v>
      </c>
      <c r="C24" s="1" t="s">
        <v>46</v>
      </c>
      <c r="D24" s="5">
        <f>SUMPRODUCT((INDEX(final_df!$B$2:$ZZ$100,,MATCH(C24,final_df!$B$1:$ZZ$1,0))&gt;0)*1)/56</f>
        <v>0.26785714285714285</v>
      </c>
      <c r="E24" s="5">
        <f>SUMPRODUCT((INDEX(final_df!$B$2:$ZZ$100,,MATCH($C24,final_df!$B$1:$ZZ$1,0))&gt;0)*(final_df!$E$2:$E$100=E$1)) /COUNTIF(final_df!$E$2:$E$100, E$1)</f>
        <v>0.35714285714285715</v>
      </c>
      <c r="F24" s="5">
        <f>SUMPRODUCT((INDEX(final_df!$B$2:$ZZ$100,,MATCH($C24,final_df!$B$1:$ZZ$1,0))&gt;0)*(final_df!$E$2:$E$100=F$1)) /COUNTIF(final_df!$E$2:$E$100, F$1)</f>
        <v>0.17857142857142858</v>
      </c>
      <c r="G24" s="5">
        <f>SUMPRODUCT((INDEX(final_df!$B$2:$ZZ$100,,MATCH($C24,final_df!$B$1:$ZZ$1,0))&gt;0)*(final_df!$AM$2:$AM$100=G$1)) /COUNTIF(final_df!$AM$2:$AM$100, G$1)</f>
        <v>0.22222222222222221</v>
      </c>
      <c r="H24" s="5">
        <f>SUMPRODUCT((INDEX(final_df!$B$2:$ZZ$100,,MATCH($C24,final_df!$B$1:$ZZ$1,0))&gt;0)*(final_df!$AM$2:$AM$100=H$1)) /COUNTIF(final_df!$AM$2:$AM$100, H$1)</f>
        <v>0.26315789473684209</v>
      </c>
      <c r="I24" s="5">
        <f>SUMPRODUCT((INDEX(final_df!$B$2:$ZZ$100,,MATCH($C24,final_df!$B$1:$ZZ$1,0))&gt;0)*(final_df!$AM$2:$AM$100=I$1)) /COUNTIF(final_df!$AM$2:$AM$100, I$1)</f>
        <v>0.31578947368421051</v>
      </c>
    </row>
    <row r="25" spans="1:9" x14ac:dyDescent="0.25">
      <c r="A25" s="21"/>
      <c r="B25" s="4" t="s">
        <v>410</v>
      </c>
      <c r="C25" s="1" t="s">
        <v>47</v>
      </c>
      <c r="D25" s="5">
        <f>SUMPRODUCT((INDEX(final_df!$B$2:$ZZ$100,,MATCH(C25,final_df!$B$1:$ZZ$1,0))&gt;0)*1)/56</f>
        <v>0.6964285714285714</v>
      </c>
      <c r="E25" s="5">
        <f>SUMPRODUCT((INDEX(final_df!$B$2:$ZZ$100,,MATCH($C25,final_df!$B$1:$ZZ$1,0))&gt;0)*(final_df!$E$2:$E$100=E$1)) /COUNTIF(final_df!$E$2:$E$100, E$1)</f>
        <v>0.5714285714285714</v>
      </c>
      <c r="F25" s="5">
        <f>SUMPRODUCT((INDEX(final_df!$B$2:$ZZ$100,,MATCH($C25,final_df!$B$1:$ZZ$1,0))&gt;0)*(final_df!$E$2:$E$100=F$1)) /COUNTIF(final_df!$E$2:$E$100, F$1)</f>
        <v>0.8214285714285714</v>
      </c>
      <c r="G25" s="5">
        <f>SUMPRODUCT((INDEX(final_df!$B$2:$ZZ$100,,MATCH($C25,final_df!$B$1:$ZZ$1,0))&gt;0)*(final_df!$AM$2:$AM$100=G$1)) /COUNTIF(final_df!$AM$2:$AM$100, G$1)</f>
        <v>0.66666666666666663</v>
      </c>
      <c r="H25" s="5">
        <f>SUMPRODUCT((INDEX(final_df!$B$2:$ZZ$100,,MATCH($C25,final_df!$B$1:$ZZ$1,0))&gt;0)*(final_df!$AM$2:$AM$100=H$1)) /COUNTIF(final_df!$AM$2:$AM$100, H$1)</f>
        <v>0.73684210526315785</v>
      </c>
      <c r="I25" s="5">
        <f>SUMPRODUCT((INDEX(final_df!$B$2:$ZZ$100,,MATCH($C25,final_df!$B$1:$ZZ$1,0))&gt;0)*(final_df!$AM$2:$AM$100=I$1)) /COUNTIF(final_df!$AM$2:$AM$100, I$1)</f>
        <v>0.68421052631578949</v>
      </c>
    </row>
    <row r="26" spans="1:9" x14ac:dyDescent="0.25">
      <c r="A26" s="21"/>
      <c r="B26" s="4" t="s">
        <v>411</v>
      </c>
      <c r="C26" s="1" t="s">
        <v>68</v>
      </c>
      <c r="D26" s="5">
        <f>SUMPRODUCT((INDEX(final_df!$B$2:$ZZ$100,,MATCH(C26,final_df!$B$1:$ZZ$1,0))&gt;0)*1)/56</f>
        <v>0.5714285714285714</v>
      </c>
      <c r="E26" s="5">
        <f>SUMPRODUCT((INDEX(final_df!$B$2:$ZZ$100,,MATCH($C26,final_df!$B$1:$ZZ$1,0))&gt;0)*(final_df!$E$2:$E$100=E$1)) /COUNTIF(final_df!$E$2:$E$100, E$1)</f>
        <v>0.5714285714285714</v>
      </c>
      <c r="F26" s="5">
        <f>SUMPRODUCT((INDEX(final_df!$B$2:$ZZ$100,,MATCH($C26,final_df!$B$1:$ZZ$1,0))&gt;0)*(final_df!$E$2:$E$100=F$1)) /COUNTIF(final_df!$E$2:$E$100, F$1)</f>
        <v>0.5714285714285714</v>
      </c>
      <c r="G26" s="5">
        <f>SUMPRODUCT((INDEX(final_df!$B$2:$ZZ$100,,MATCH($C26,final_df!$B$1:$ZZ$1,0))&gt;0)*(final_df!$AM$2:$AM$100=G$1)) /COUNTIF(final_df!$AM$2:$AM$100, G$1)</f>
        <v>0.66666666666666663</v>
      </c>
      <c r="H26" s="5">
        <f>SUMPRODUCT((INDEX(final_df!$B$2:$ZZ$100,,MATCH($C26,final_df!$B$1:$ZZ$1,0))&gt;0)*(final_df!$AM$2:$AM$100=H$1)) /COUNTIF(final_df!$AM$2:$AM$100, H$1)</f>
        <v>0.73684210526315785</v>
      </c>
      <c r="I26" s="5">
        <f>SUMPRODUCT((INDEX(final_df!$B$2:$ZZ$100,,MATCH($C26,final_df!$B$1:$ZZ$1,0))&gt;0)*(final_df!$AM$2:$AM$100=I$1)) /COUNTIF(final_df!$AM$2:$AM$100, I$1)</f>
        <v>0.31578947368421051</v>
      </c>
    </row>
    <row r="27" spans="1:9" x14ac:dyDescent="0.25">
      <c r="A27" s="21" t="s">
        <v>439</v>
      </c>
      <c r="B27" s="4" t="s">
        <v>442</v>
      </c>
      <c r="C27" s="1" t="s">
        <v>48</v>
      </c>
      <c r="D27" s="5">
        <f>SUMPRODUCT((INDEX(final_df!$B$2:$ZZ$100,,MATCH(C27,final_df!$B$1:$ZZ$1,0))&gt;0)*1)/56</f>
        <v>0.44642857142857145</v>
      </c>
      <c r="E27" s="5">
        <f>SUMPRODUCT((INDEX(final_df!$B$2:$ZZ$100,,MATCH($C27,final_df!$B$1:$ZZ$1,0))&gt;0)*(final_df!$E$2:$E$100=E$1)) /COUNTIF(final_df!$E$2:$E$100, E$1)</f>
        <v>0.4642857142857143</v>
      </c>
      <c r="F27" s="5">
        <f>SUMPRODUCT((INDEX(final_df!$B$2:$ZZ$100,,MATCH($C27,final_df!$B$1:$ZZ$1,0))&gt;0)*(final_df!$E$2:$E$100=F$1)) /COUNTIF(final_df!$E$2:$E$100, F$1)</f>
        <v>0.42857142857142855</v>
      </c>
      <c r="G27" s="5">
        <f>SUMPRODUCT((INDEX(final_df!$B$2:$ZZ$100,,MATCH($C27,final_df!$B$1:$ZZ$1,0))&gt;0)*(final_df!$AM$2:$AM$100=G$1)) /COUNTIF(final_df!$AM$2:$AM$100, G$1)</f>
        <v>0.5</v>
      </c>
      <c r="H27" s="5">
        <f>SUMPRODUCT((INDEX(final_df!$B$2:$ZZ$100,,MATCH($C27,final_df!$B$1:$ZZ$1,0))&gt;0)*(final_df!$AM$2:$AM$100=H$1)) /COUNTIF(final_df!$AM$2:$AM$100, H$1)</f>
        <v>0.52631578947368418</v>
      </c>
      <c r="I27" s="5">
        <f>SUMPRODUCT((INDEX(final_df!$B$2:$ZZ$100,,MATCH($C27,final_df!$B$1:$ZZ$1,0))&gt;0)*(final_df!$AM$2:$AM$100=I$1)) /COUNTIF(final_df!$AM$2:$AM$100, I$1)</f>
        <v>0.31578947368421051</v>
      </c>
    </row>
    <row r="28" spans="1:9" x14ac:dyDescent="0.25">
      <c r="A28" s="21"/>
      <c r="B28" s="4" t="s">
        <v>441</v>
      </c>
      <c r="C28" s="1" t="s">
        <v>69</v>
      </c>
      <c r="D28" s="5">
        <f>SUMPRODUCT((INDEX(final_df!$B$2:$ZZ$100,,MATCH(C28,final_df!$B$1:$ZZ$1,0))&gt;0)*1)/56</f>
        <v>0.32142857142857145</v>
      </c>
      <c r="E28" s="5">
        <f>SUMPRODUCT((INDEX(final_df!$B$2:$ZZ$100,,MATCH($C28,final_df!$B$1:$ZZ$1,0))&gt;0)*(final_df!$E$2:$E$100=E$1)) /COUNTIF(final_df!$E$2:$E$100, E$1)</f>
        <v>0.2857142857142857</v>
      </c>
      <c r="F28" s="5">
        <f>SUMPRODUCT((INDEX(final_df!$B$2:$ZZ$100,,MATCH($C28,final_df!$B$1:$ZZ$1,0))&gt;0)*(final_df!$E$2:$E$100=F$1)) /COUNTIF(final_df!$E$2:$E$100, F$1)</f>
        <v>0.35714285714285715</v>
      </c>
      <c r="G28" s="5">
        <f>SUMPRODUCT((INDEX(final_df!$B$2:$ZZ$100,,MATCH($C28,final_df!$B$1:$ZZ$1,0))&gt;0)*(final_df!$AM$2:$AM$100=G$1)) /COUNTIF(final_df!$AM$2:$AM$100, G$1)</f>
        <v>0.3888888888888889</v>
      </c>
      <c r="H28" s="5">
        <f>SUMPRODUCT((INDEX(final_df!$B$2:$ZZ$100,,MATCH($C28,final_df!$B$1:$ZZ$1,0))&gt;0)*(final_df!$AM$2:$AM$100=H$1)) /COUNTIF(final_df!$AM$2:$AM$100, H$1)</f>
        <v>0.31578947368421051</v>
      </c>
      <c r="I28" s="5">
        <f>SUMPRODUCT((INDEX(final_df!$B$2:$ZZ$100,,MATCH($C28,final_df!$B$1:$ZZ$1,0))&gt;0)*(final_df!$AM$2:$AM$100=I$1)) /COUNTIF(final_df!$AM$2:$AM$100, I$1)</f>
        <v>0.26315789473684209</v>
      </c>
    </row>
    <row r="29" spans="1:9" x14ac:dyDescent="0.25">
      <c r="A29" s="21"/>
      <c r="B29" s="4" t="s">
        <v>440</v>
      </c>
      <c r="C29" s="1" t="s">
        <v>49</v>
      </c>
      <c r="D29" s="5">
        <f>SUMPRODUCT((INDEX(final_df!$B$2:$ZZ$100,,MATCH(C29,final_df!$B$1:$ZZ$1,0))&gt;0)*1)/56</f>
        <v>0.4107142857142857</v>
      </c>
      <c r="E29" s="5">
        <f>SUMPRODUCT((INDEX(final_df!$B$2:$ZZ$100,,MATCH($C29,final_df!$B$1:$ZZ$1,0))&gt;0)*(final_df!$E$2:$E$100=E$1)) /COUNTIF(final_df!$E$2:$E$100, E$1)</f>
        <v>0.2857142857142857</v>
      </c>
      <c r="F29" s="5">
        <f>SUMPRODUCT((INDEX(final_df!$B$2:$ZZ$100,,MATCH($C29,final_df!$B$1:$ZZ$1,0))&gt;0)*(final_df!$E$2:$E$100=F$1)) /COUNTIF(final_df!$E$2:$E$100, F$1)</f>
        <v>0.5357142857142857</v>
      </c>
      <c r="G29" s="5">
        <f>SUMPRODUCT((INDEX(final_df!$B$2:$ZZ$100,,MATCH($C29,final_df!$B$1:$ZZ$1,0))&gt;0)*(final_df!$AM$2:$AM$100=G$1)) /COUNTIF(final_df!$AM$2:$AM$100, G$1)</f>
        <v>0.55555555555555558</v>
      </c>
      <c r="H29" s="5">
        <f>SUMPRODUCT((INDEX(final_df!$B$2:$ZZ$100,,MATCH($C29,final_df!$B$1:$ZZ$1,0))&gt;0)*(final_df!$AM$2:$AM$100=H$1)) /COUNTIF(final_df!$AM$2:$AM$100, H$1)</f>
        <v>0.42105263157894735</v>
      </c>
      <c r="I29" s="5">
        <f>SUMPRODUCT((INDEX(final_df!$B$2:$ZZ$100,,MATCH($C29,final_df!$B$1:$ZZ$1,0))&gt;0)*(final_df!$AM$2:$AM$100=I$1)) /COUNTIF(final_df!$AM$2:$AM$100, I$1)</f>
        <v>0.26315789473684209</v>
      </c>
    </row>
    <row r="30" spans="1:9" x14ac:dyDescent="0.25">
      <c r="A30" s="21"/>
      <c r="B30" s="4" t="s">
        <v>438</v>
      </c>
      <c r="C30" s="1" t="s">
        <v>50</v>
      </c>
      <c r="D30" s="5">
        <f>SUMPRODUCT((INDEX(final_df!$B$2:$ZZ$100,,MATCH(C30,final_df!$B$1:$ZZ$1,0))&gt;0)*1)/56</f>
        <v>0.4107142857142857</v>
      </c>
      <c r="E30" s="5">
        <f>SUMPRODUCT((INDEX(final_df!$B$2:$ZZ$100,,MATCH($C30,final_df!$B$1:$ZZ$1,0))&gt;0)*(final_df!$E$2:$E$100=E$1)) /COUNTIF(final_df!$E$2:$E$100, E$1)</f>
        <v>0.32142857142857145</v>
      </c>
      <c r="F30" s="5">
        <f>SUMPRODUCT((INDEX(final_df!$B$2:$ZZ$100,,MATCH($C30,final_df!$B$1:$ZZ$1,0))&gt;0)*(final_df!$E$2:$E$100=F$1)) /COUNTIF(final_df!$E$2:$E$100, F$1)</f>
        <v>0.5</v>
      </c>
      <c r="G30" s="5">
        <f>SUMPRODUCT((INDEX(final_df!$B$2:$ZZ$100,,MATCH($C30,final_df!$B$1:$ZZ$1,0))&gt;0)*(final_df!$AM$2:$AM$100=G$1)) /COUNTIF(final_df!$AM$2:$AM$100, G$1)</f>
        <v>0.5</v>
      </c>
      <c r="H30" s="5">
        <f>SUMPRODUCT((INDEX(final_df!$B$2:$ZZ$100,,MATCH($C30,final_df!$B$1:$ZZ$1,0))&gt;0)*(final_df!$AM$2:$AM$100=H$1)) /COUNTIF(final_df!$AM$2:$AM$100, H$1)</f>
        <v>0.52631578947368418</v>
      </c>
      <c r="I30" s="5">
        <f>SUMPRODUCT((INDEX(final_df!$B$2:$ZZ$100,,MATCH($C30,final_df!$B$1:$ZZ$1,0))&gt;0)*(final_df!$AM$2:$AM$100=I$1)) /COUNTIF(final_df!$AM$2:$AM$100, I$1)</f>
        <v>0.21052631578947367</v>
      </c>
    </row>
    <row r="31" spans="1:9" x14ac:dyDescent="0.25">
      <c r="A31" s="21" t="s">
        <v>390</v>
      </c>
      <c r="B31" s="4" t="s">
        <v>393</v>
      </c>
      <c r="C31" s="1" t="s">
        <v>70</v>
      </c>
      <c r="D31" s="5">
        <f>SUMPRODUCT((INDEX(final_df!$B$2:$ZZ$100,,MATCH(C31,final_df!$B$1:$ZZ$1,0))&gt;0)*1)/56</f>
        <v>0.5178571428571429</v>
      </c>
      <c r="E31" s="5">
        <f>SUMPRODUCT((INDEX(final_df!$B$2:$ZZ$100,,MATCH($C31,final_df!$B$1:$ZZ$1,0))&gt;0)*(final_df!$E$2:$E$100=E$1)) /COUNTIF(final_df!$E$2:$E$100, E$1)</f>
        <v>0.4642857142857143</v>
      </c>
      <c r="F31" s="5">
        <f>SUMPRODUCT((INDEX(final_df!$B$2:$ZZ$100,,MATCH($C31,final_df!$B$1:$ZZ$1,0))&gt;0)*(final_df!$E$2:$E$100=F$1)) /COUNTIF(final_df!$E$2:$E$100, F$1)</f>
        <v>0.5714285714285714</v>
      </c>
      <c r="G31" s="5">
        <f>SUMPRODUCT((INDEX(final_df!$B$2:$ZZ$100,,MATCH($C31,final_df!$B$1:$ZZ$1,0))&gt;0)*(final_df!$AM$2:$AM$100=G$1)) /COUNTIF(final_df!$AM$2:$AM$100, G$1)</f>
        <v>0.5</v>
      </c>
      <c r="H31" s="5">
        <f>SUMPRODUCT((INDEX(final_df!$B$2:$ZZ$100,,MATCH($C31,final_df!$B$1:$ZZ$1,0))&gt;0)*(final_df!$AM$2:$AM$100=H$1)) /COUNTIF(final_df!$AM$2:$AM$100, H$1)</f>
        <v>0.57894736842105265</v>
      </c>
      <c r="I31" s="5">
        <f>SUMPRODUCT((INDEX(final_df!$B$2:$ZZ$100,,MATCH($C31,final_df!$B$1:$ZZ$1,0))&gt;0)*(final_df!$AM$2:$AM$100=I$1)) /COUNTIF(final_df!$AM$2:$AM$100, I$1)</f>
        <v>0.47368421052631576</v>
      </c>
    </row>
    <row r="32" spans="1:9" x14ac:dyDescent="0.25">
      <c r="A32" s="21"/>
      <c r="B32" s="4" t="s">
        <v>392</v>
      </c>
      <c r="C32" s="1" t="s">
        <v>72</v>
      </c>
      <c r="D32" s="5">
        <f>SUMPRODUCT((INDEX(final_df!$B$2:$ZZ$100,,MATCH(C32,final_df!$B$1:$ZZ$1,0))&gt;0)*1)/56</f>
        <v>0.21428571428571427</v>
      </c>
      <c r="E32" s="5">
        <f>SUMPRODUCT((INDEX(final_df!$B$2:$ZZ$100,,MATCH($C32,final_df!$B$1:$ZZ$1,0))&gt;0)*(final_df!$E$2:$E$100=E$1)) /COUNTIF(final_df!$E$2:$E$100, E$1)</f>
        <v>0.21428571428571427</v>
      </c>
      <c r="F32" s="5">
        <f>SUMPRODUCT((INDEX(final_df!$B$2:$ZZ$100,,MATCH($C32,final_df!$B$1:$ZZ$1,0))&gt;0)*(final_df!$E$2:$E$100=F$1)) /COUNTIF(final_df!$E$2:$E$100, F$1)</f>
        <v>0.21428571428571427</v>
      </c>
      <c r="G32" s="5">
        <f>SUMPRODUCT((INDEX(final_df!$B$2:$ZZ$100,,MATCH($C32,final_df!$B$1:$ZZ$1,0))&gt;0)*(final_df!$AM$2:$AM$100=G$1)) /COUNTIF(final_df!$AM$2:$AM$100, G$1)</f>
        <v>5.5555555555555552E-2</v>
      </c>
      <c r="H32" s="5">
        <f>SUMPRODUCT((INDEX(final_df!$B$2:$ZZ$100,,MATCH($C32,final_df!$B$1:$ZZ$1,0))&gt;0)*(final_df!$AM$2:$AM$100=H$1)) /COUNTIF(final_df!$AM$2:$AM$100, H$1)</f>
        <v>0.31578947368421051</v>
      </c>
      <c r="I32" s="5">
        <f>SUMPRODUCT((INDEX(final_df!$B$2:$ZZ$100,,MATCH($C32,final_df!$B$1:$ZZ$1,0))&gt;0)*(final_df!$AM$2:$AM$100=I$1)) /COUNTIF(final_df!$AM$2:$AM$100, I$1)</f>
        <v>0.26315789473684209</v>
      </c>
    </row>
    <row r="33" spans="1:9" x14ac:dyDescent="0.25">
      <c r="A33" s="21"/>
      <c r="B33" s="4" t="s">
        <v>437</v>
      </c>
      <c r="C33" s="1" t="s">
        <v>71</v>
      </c>
      <c r="D33" s="5">
        <f>SUMPRODUCT((INDEX(final_df!$B$2:$ZZ$100,,MATCH(C33,final_df!$B$1:$ZZ$1,0))&gt;0)*1)/56</f>
        <v>0.3392857142857143</v>
      </c>
      <c r="E33" s="5">
        <f>SUMPRODUCT((INDEX(final_df!$B$2:$ZZ$100,,MATCH($C33,final_df!$B$1:$ZZ$1,0))&gt;0)*(final_df!$E$2:$E$100=E$1)) /COUNTIF(final_df!$E$2:$E$100, E$1)</f>
        <v>0.39285714285714285</v>
      </c>
      <c r="F33" s="5">
        <f>SUMPRODUCT((INDEX(final_df!$B$2:$ZZ$100,,MATCH($C33,final_df!$B$1:$ZZ$1,0))&gt;0)*(final_df!$E$2:$E$100=F$1)) /COUNTIF(final_df!$E$2:$E$100, F$1)</f>
        <v>0.2857142857142857</v>
      </c>
      <c r="G33" s="5">
        <f>SUMPRODUCT((INDEX(final_df!$B$2:$ZZ$100,,MATCH($C33,final_df!$B$1:$ZZ$1,0))&gt;0)*(final_df!$AM$2:$AM$100=G$1)) /COUNTIF(final_df!$AM$2:$AM$100, G$1)</f>
        <v>0.3888888888888889</v>
      </c>
      <c r="H33" s="5">
        <f>SUMPRODUCT((INDEX(final_df!$B$2:$ZZ$100,,MATCH($C33,final_df!$B$1:$ZZ$1,0))&gt;0)*(final_df!$AM$2:$AM$100=H$1)) /COUNTIF(final_df!$AM$2:$AM$100, H$1)</f>
        <v>0.21052631578947367</v>
      </c>
      <c r="I33" s="5">
        <f>SUMPRODUCT((INDEX(final_df!$B$2:$ZZ$100,,MATCH($C33,final_df!$B$1:$ZZ$1,0))&gt;0)*(final_df!$AM$2:$AM$100=I$1)) /COUNTIF(final_df!$AM$2:$AM$100, I$1)</f>
        <v>0.42105263157894735</v>
      </c>
    </row>
    <row r="34" spans="1:9" x14ac:dyDescent="0.25">
      <c r="A34" s="21"/>
      <c r="B34" s="4" t="s">
        <v>391</v>
      </c>
      <c r="C34" s="1" t="s">
        <v>73</v>
      </c>
      <c r="D34" s="5">
        <f>SUMPRODUCT((INDEX(final_df!$B$2:$ZZ$100,,MATCH(C34,final_df!$B$1:$ZZ$1,0))&gt;0)*1)/56</f>
        <v>0.625</v>
      </c>
      <c r="E34" s="5">
        <f>SUMPRODUCT((INDEX(final_df!$B$2:$ZZ$100,,MATCH($C34,final_df!$B$1:$ZZ$1,0))&gt;0)*(final_df!$E$2:$E$100=E$1)) /COUNTIF(final_df!$E$2:$E$100, E$1)</f>
        <v>0.6071428571428571</v>
      </c>
      <c r="F34" s="5">
        <f>SUMPRODUCT((INDEX(final_df!$B$2:$ZZ$100,,MATCH($C34,final_df!$B$1:$ZZ$1,0))&gt;0)*(final_df!$E$2:$E$100=F$1)) /COUNTIF(final_df!$E$2:$E$100, F$1)</f>
        <v>0.6428571428571429</v>
      </c>
      <c r="G34" s="5">
        <f>SUMPRODUCT((INDEX(final_df!$B$2:$ZZ$100,,MATCH($C34,final_df!$B$1:$ZZ$1,0))&gt;0)*(final_df!$AM$2:$AM$100=G$1)) /COUNTIF(final_df!$AM$2:$AM$100, G$1)</f>
        <v>0.3888888888888889</v>
      </c>
      <c r="H34" s="5">
        <f>SUMPRODUCT((INDEX(final_df!$B$2:$ZZ$100,,MATCH($C34,final_df!$B$1:$ZZ$1,0))&gt;0)*(final_df!$AM$2:$AM$100=H$1)) /COUNTIF(final_df!$AM$2:$AM$100, H$1)</f>
        <v>0.63157894736842102</v>
      </c>
      <c r="I34" s="5">
        <f>SUMPRODUCT((INDEX(final_df!$B$2:$ZZ$100,,MATCH($C34,final_df!$B$1:$ZZ$1,0))&gt;0)*(final_df!$AM$2:$AM$100=I$1)) /COUNTIF(final_df!$AM$2:$AM$100, I$1)</f>
        <v>0.84210526315789469</v>
      </c>
    </row>
    <row r="35" spans="1:9" x14ac:dyDescent="0.25">
      <c r="A35" s="21"/>
      <c r="B35" s="4" t="s">
        <v>389</v>
      </c>
      <c r="C35" s="1" t="s">
        <v>51</v>
      </c>
      <c r="D35" s="5">
        <f>SUMPRODUCT((INDEX(final_df!$B$2:$ZZ$100,,MATCH(C35,final_df!$B$1:$ZZ$1,0))&gt;0)*1)/56</f>
        <v>0.9464285714285714</v>
      </c>
      <c r="E35" s="5">
        <f>SUMPRODUCT((INDEX(final_df!$B$2:$ZZ$100,,MATCH($C35,final_df!$B$1:$ZZ$1,0))&gt;0)*(final_df!$E$2:$E$100=E$1)) /COUNTIF(final_df!$E$2:$E$100, E$1)</f>
        <v>0.8928571428571429</v>
      </c>
      <c r="F35" s="5">
        <f>SUMPRODUCT((INDEX(final_df!$B$2:$ZZ$100,,MATCH($C35,final_df!$B$1:$ZZ$1,0))&gt;0)*(final_df!$E$2:$E$100=F$1)) /COUNTIF(final_df!$E$2:$E$100, F$1)</f>
        <v>1</v>
      </c>
      <c r="G35" s="5">
        <f>SUMPRODUCT((INDEX(final_df!$B$2:$ZZ$100,,MATCH($C35,final_df!$B$1:$ZZ$1,0))&gt;0)*(final_df!$AM$2:$AM$100=G$1)) /COUNTIF(final_df!$AM$2:$AM$100, G$1)</f>
        <v>1</v>
      </c>
      <c r="H35" s="5">
        <f>SUMPRODUCT((INDEX(final_df!$B$2:$ZZ$100,,MATCH($C35,final_df!$B$1:$ZZ$1,0))&gt;0)*(final_df!$AM$2:$AM$100=H$1)) /COUNTIF(final_df!$AM$2:$AM$100, H$1)</f>
        <v>0.94736842105263153</v>
      </c>
      <c r="I35" s="5">
        <f>SUMPRODUCT((INDEX(final_df!$B$2:$ZZ$100,,MATCH($C35,final_df!$B$1:$ZZ$1,0))&gt;0)*(final_df!$AM$2:$AM$100=I$1)) /COUNTIF(final_df!$AM$2:$AM$100, I$1)</f>
        <v>0.89473684210526316</v>
      </c>
    </row>
    <row r="36" spans="1:9" x14ac:dyDescent="0.25">
      <c r="A36" s="21" t="s">
        <v>424</v>
      </c>
      <c r="B36" s="4" t="s">
        <v>445</v>
      </c>
      <c r="C36" s="1" t="s">
        <v>74</v>
      </c>
      <c r="D36" s="5">
        <f>SUMPRODUCT((INDEX(final_df!$B$2:$ZZ$100,,MATCH(C36,final_df!$B$1:$ZZ$1,0))&gt;0)*1)/56</f>
        <v>0.6071428571428571</v>
      </c>
      <c r="E36" s="5">
        <f>SUMPRODUCT((INDEX(final_df!$B$2:$ZZ$100,,MATCH($C36,final_df!$B$1:$ZZ$1,0))&gt;0)*(final_df!$E$2:$E$100=E$1)) /COUNTIF(final_df!$E$2:$E$100, E$1)</f>
        <v>0.6785714285714286</v>
      </c>
      <c r="F36" s="5">
        <f>SUMPRODUCT((INDEX(final_df!$B$2:$ZZ$100,,MATCH($C36,final_df!$B$1:$ZZ$1,0))&gt;0)*(final_df!$E$2:$E$100=F$1)) /COUNTIF(final_df!$E$2:$E$100, F$1)</f>
        <v>0.5357142857142857</v>
      </c>
      <c r="G36" s="5">
        <f>SUMPRODUCT((INDEX(final_df!$B$2:$ZZ$100,,MATCH($C36,final_df!$B$1:$ZZ$1,0))&gt;0)*(final_df!$AM$2:$AM$100=G$1)) /COUNTIF(final_df!$AM$2:$AM$100, G$1)</f>
        <v>0.61111111111111116</v>
      </c>
      <c r="H36" s="5">
        <f>SUMPRODUCT((INDEX(final_df!$B$2:$ZZ$100,,MATCH($C36,final_df!$B$1:$ZZ$1,0))&gt;0)*(final_df!$AM$2:$AM$100=H$1)) /COUNTIF(final_df!$AM$2:$AM$100, H$1)</f>
        <v>0.57894736842105265</v>
      </c>
      <c r="I36" s="5">
        <f>SUMPRODUCT((INDEX(final_df!$B$2:$ZZ$100,,MATCH($C36,final_df!$B$1:$ZZ$1,0))&gt;0)*(final_df!$AM$2:$AM$100=I$1)) /COUNTIF(final_df!$AM$2:$AM$100, I$1)</f>
        <v>0.63157894736842102</v>
      </c>
    </row>
    <row r="37" spans="1:9" x14ac:dyDescent="0.25">
      <c r="A37" s="21"/>
      <c r="B37" s="4" t="s">
        <v>443</v>
      </c>
      <c r="C37" s="1" t="s">
        <v>75</v>
      </c>
      <c r="D37" s="5">
        <f>SUMPRODUCT((INDEX(final_df!$B$2:$ZZ$100,,MATCH(C37,final_df!$B$1:$ZZ$1,0))&gt;0)*1)/56</f>
        <v>0.48214285714285715</v>
      </c>
      <c r="E37" s="5">
        <f>SUMPRODUCT((INDEX(final_df!$B$2:$ZZ$100,,MATCH($C37,final_df!$B$1:$ZZ$1,0))&gt;0)*(final_df!$E$2:$E$100=E$1)) /COUNTIF(final_df!$E$2:$E$100, E$1)</f>
        <v>0.4642857142857143</v>
      </c>
      <c r="F37" s="5">
        <f>SUMPRODUCT((INDEX(final_df!$B$2:$ZZ$100,,MATCH($C37,final_df!$B$1:$ZZ$1,0))&gt;0)*(final_df!$E$2:$E$100=F$1)) /COUNTIF(final_df!$E$2:$E$100, F$1)</f>
        <v>0.5</v>
      </c>
      <c r="G37" s="5">
        <f>SUMPRODUCT((INDEX(final_df!$B$2:$ZZ$100,,MATCH($C37,final_df!$B$1:$ZZ$1,0))&gt;0)*(final_df!$AM$2:$AM$100=G$1)) /COUNTIF(final_df!$AM$2:$AM$100, G$1)</f>
        <v>0.55555555555555558</v>
      </c>
      <c r="H37" s="5">
        <f>SUMPRODUCT((INDEX(final_df!$B$2:$ZZ$100,,MATCH($C37,final_df!$B$1:$ZZ$1,0))&gt;0)*(final_df!$AM$2:$AM$100=H$1)) /COUNTIF(final_df!$AM$2:$AM$100, H$1)</f>
        <v>0.52631578947368418</v>
      </c>
      <c r="I37" s="5">
        <f>SUMPRODUCT((INDEX(final_df!$B$2:$ZZ$100,,MATCH($C37,final_df!$B$1:$ZZ$1,0))&gt;0)*(final_df!$AM$2:$AM$100=I$1)) /COUNTIF(final_df!$AM$2:$AM$100, I$1)</f>
        <v>0.36842105263157893</v>
      </c>
    </row>
    <row r="38" spans="1:9" x14ac:dyDescent="0.25">
      <c r="A38" s="21"/>
      <c r="B38" s="4" t="s">
        <v>446</v>
      </c>
      <c r="C38" s="1" t="s">
        <v>76</v>
      </c>
      <c r="D38" s="5">
        <f>SUMPRODUCT((INDEX(final_df!$B$2:$ZZ$100,,MATCH(C38,final_df!$B$1:$ZZ$1,0))&gt;0)*1)/56</f>
        <v>0.35714285714285715</v>
      </c>
      <c r="E38" s="5">
        <f>SUMPRODUCT((INDEX(final_df!$B$2:$ZZ$100,,MATCH($C38,final_df!$B$1:$ZZ$1,0))&gt;0)*(final_df!$E$2:$E$100=E$1)) /COUNTIF(final_df!$E$2:$E$100, E$1)</f>
        <v>0.32142857142857145</v>
      </c>
      <c r="F38" s="5">
        <f>SUMPRODUCT((INDEX(final_df!$B$2:$ZZ$100,,MATCH($C38,final_df!$B$1:$ZZ$1,0))&gt;0)*(final_df!$E$2:$E$100=F$1)) /COUNTIF(final_df!$E$2:$E$100, F$1)</f>
        <v>0.39285714285714285</v>
      </c>
      <c r="G38" s="5">
        <f>SUMPRODUCT((INDEX(final_df!$B$2:$ZZ$100,,MATCH($C38,final_df!$B$1:$ZZ$1,0))&gt;0)*(final_df!$AM$2:$AM$100=G$1)) /COUNTIF(final_df!$AM$2:$AM$100, G$1)</f>
        <v>0.33333333333333331</v>
      </c>
      <c r="H38" s="5">
        <f>SUMPRODUCT((INDEX(final_df!$B$2:$ZZ$100,,MATCH($C38,final_df!$B$1:$ZZ$1,0))&gt;0)*(final_df!$AM$2:$AM$100=H$1)) /COUNTIF(final_df!$AM$2:$AM$100, H$1)</f>
        <v>0.42105263157894735</v>
      </c>
      <c r="I38" s="5">
        <f>SUMPRODUCT((INDEX(final_df!$B$2:$ZZ$100,,MATCH($C38,final_df!$B$1:$ZZ$1,0))&gt;0)*(final_df!$AM$2:$AM$100=I$1)) /COUNTIF(final_df!$AM$2:$AM$100, I$1)</f>
        <v>0.31578947368421051</v>
      </c>
    </row>
    <row r="39" spans="1:9" x14ac:dyDescent="0.25">
      <c r="A39" s="21"/>
      <c r="B39" s="4" t="s">
        <v>423</v>
      </c>
      <c r="C39" s="1" t="s">
        <v>86</v>
      </c>
      <c r="D39" s="5">
        <f>SUMPRODUCT((INDEX(final_df!$B$2:$ZZ$100,,MATCH(C39,final_df!$B$1:$ZZ$1,0))&gt;0)*1)/56</f>
        <v>0.26785714285714285</v>
      </c>
      <c r="E39" s="5">
        <f>SUMPRODUCT((INDEX(final_df!$B$2:$ZZ$100,,MATCH($C39,final_df!$B$1:$ZZ$1,0))&gt;0)*(final_df!$E$2:$E$100=E$1)) /COUNTIF(final_df!$E$2:$E$100, E$1)</f>
        <v>0.2857142857142857</v>
      </c>
      <c r="F39" s="5">
        <f>SUMPRODUCT((INDEX(final_df!$B$2:$ZZ$100,,MATCH($C39,final_df!$B$1:$ZZ$1,0))&gt;0)*(final_df!$E$2:$E$100=F$1)) /COUNTIF(final_df!$E$2:$E$100, F$1)</f>
        <v>0.25</v>
      </c>
      <c r="G39" s="5">
        <f>SUMPRODUCT((INDEX(final_df!$B$2:$ZZ$100,,MATCH($C39,final_df!$B$1:$ZZ$1,0))&gt;0)*(final_df!$AM$2:$AM$100=G$1)) /COUNTIF(final_df!$AM$2:$AM$100, G$1)</f>
        <v>0.22222222222222221</v>
      </c>
      <c r="H39" s="5">
        <f>SUMPRODUCT((INDEX(final_df!$B$2:$ZZ$100,,MATCH($C39,final_df!$B$1:$ZZ$1,0))&gt;0)*(final_df!$AM$2:$AM$100=H$1)) /COUNTIF(final_df!$AM$2:$AM$100, H$1)</f>
        <v>0.31578947368421051</v>
      </c>
      <c r="I39" s="5">
        <f>SUMPRODUCT((INDEX(final_df!$B$2:$ZZ$100,,MATCH($C39,final_df!$B$1:$ZZ$1,0))&gt;0)*(final_df!$AM$2:$AM$100=I$1)) /COUNTIF(final_df!$AM$2:$AM$100, I$1)</f>
        <v>0.26315789473684209</v>
      </c>
    </row>
    <row r="40" spans="1:9" x14ac:dyDescent="0.25">
      <c r="A40" s="21"/>
      <c r="B40" s="4" t="s">
        <v>444</v>
      </c>
      <c r="C40" s="1" t="s">
        <v>87</v>
      </c>
      <c r="D40" s="5">
        <f>SUMPRODUCT((INDEX(final_df!$B$2:$ZZ$100,,MATCH(C40,final_df!$B$1:$ZZ$1,0))&gt;0)*1)/56</f>
        <v>0.35714285714285715</v>
      </c>
      <c r="E40" s="5">
        <f>SUMPRODUCT((INDEX(final_df!$B$2:$ZZ$100,,MATCH($C40,final_df!$B$1:$ZZ$1,0))&gt;0)*(final_df!$E$2:$E$100=E$1)) /COUNTIF(final_df!$E$2:$E$100, E$1)</f>
        <v>0.2857142857142857</v>
      </c>
      <c r="F40" s="5">
        <f>SUMPRODUCT((INDEX(final_df!$B$2:$ZZ$100,,MATCH($C40,final_df!$B$1:$ZZ$1,0))&gt;0)*(final_df!$E$2:$E$100=F$1)) /COUNTIF(final_df!$E$2:$E$100, F$1)</f>
        <v>0.42857142857142855</v>
      </c>
      <c r="G40" s="5">
        <f>SUMPRODUCT((INDEX(final_df!$B$2:$ZZ$100,,MATCH($C40,final_df!$B$1:$ZZ$1,0))&gt;0)*(final_df!$AM$2:$AM$100=G$1)) /COUNTIF(final_df!$AM$2:$AM$100, G$1)</f>
        <v>0.5</v>
      </c>
      <c r="H40" s="5">
        <f>SUMPRODUCT((INDEX(final_df!$B$2:$ZZ$100,,MATCH($C40,final_df!$B$1:$ZZ$1,0))&gt;0)*(final_df!$AM$2:$AM$100=H$1)) /COUNTIF(final_df!$AM$2:$AM$100, H$1)</f>
        <v>0.15789473684210525</v>
      </c>
      <c r="I40" s="5">
        <f>SUMPRODUCT((INDEX(final_df!$B$2:$ZZ$100,,MATCH($C40,final_df!$B$1:$ZZ$1,0))&gt;0)*(final_df!$AM$2:$AM$100=I$1)) /COUNTIF(final_df!$AM$2:$AM$100, I$1)</f>
        <v>0.42105263157894735</v>
      </c>
    </row>
    <row r="41" spans="1:9" x14ac:dyDescent="0.25">
      <c r="A41" s="21"/>
      <c r="B41" s="4" t="s">
        <v>447</v>
      </c>
      <c r="C41" s="1" t="s">
        <v>77</v>
      </c>
      <c r="D41" s="5">
        <f>SUMPRODUCT((INDEX(final_df!$B$2:$ZZ$100,,MATCH(C41,final_df!$B$1:$ZZ$1,0))&gt;0)*1)/56</f>
        <v>0.48214285714285715</v>
      </c>
      <c r="E41" s="5">
        <f>SUMPRODUCT((INDEX(final_df!$B$2:$ZZ$100,,MATCH($C41,final_df!$B$1:$ZZ$1,0))&gt;0)*(final_df!$E$2:$E$100=E$1)) /COUNTIF(final_df!$E$2:$E$100, E$1)</f>
        <v>0.5357142857142857</v>
      </c>
      <c r="F41" s="5">
        <f>SUMPRODUCT((INDEX(final_df!$B$2:$ZZ$100,,MATCH($C41,final_df!$B$1:$ZZ$1,0))&gt;0)*(final_df!$E$2:$E$100=F$1)) /COUNTIF(final_df!$E$2:$E$100, F$1)</f>
        <v>0.42857142857142855</v>
      </c>
      <c r="G41" s="5">
        <f>SUMPRODUCT((INDEX(final_df!$B$2:$ZZ$100,,MATCH($C41,final_df!$B$1:$ZZ$1,0))&gt;0)*(final_df!$AM$2:$AM$100=G$1)) /COUNTIF(final_df!$AM$2:$AM$100, G$1)</f>
        <v>0.5</v>
      </c>
      <c r="H41" s="5">
        <f>SUMPRODUCT((INDEX(final_df!$B$2:$ZZ$100,,MATCH($C41,final_df!$B$1:$ZZ$1,0))&gt;0)*(final_df!$AM$2:$AM$100=H$1)) /COUNTIF(final_df!$AM$2:$AM$100, H$1)</f>
        <v>0.52631578947368418</v>
      </c>
      <c r="I41" s="5">
        <f>SUMPRODUCT((INDEX(final_df!$B$2:$ZZ$100,,MATCH($C41,final_df!$B$1:$ZZ$1,0))&gt;0)*(final_df!$AM$2:$AM$100=I$1)) /COUNTIF(final_df!$AM$2:$AM$100, I$1)</f>
        <v>0.42105263157894735</v>
      </c>
    </row>
    <row r="42" spans="1:9" x14ac:dyDescent="0.25">
      <c r="A42" s="21" t="s">
        <v>400</v>
      </c>
      <c r="B42" s="4" t="s">
        <v>401</v>
      </c>
      <c r="C42" s="1" t="s">
        <v>78</v>
      </c>
      <c r="D42" s="5">
        <f>SUMPRODUCT((INDEX(final_df!$B$2:$ZZ$100,,MATCH(C42,final_df!$B$1:$ZZ$1,0))&gt;0)*1)/56</f>
        <v>0.44642857142857145</v>
      </c>
      <c r="E42" s="5">
        <f>SUMPRODUCT((INDEX(final_df!$B$2:$ZZ$100,,MATCH($C42,final_df!$B$1:$ZZ$1,0))&gt;0)*(final_df!$E$2:$E$100=E$1)) /COUNTIF(final_df!$E$2:$E$100, E$1)</f>
        <v>0.5357142857142857</v>
      </c>
      <c r="F42" s="5">
        <f>SUMPRODUCT((INDEX(final_df!$B$2:$ZZ$100,,MATCH($C42,final_df!$B$1:$ZZ$1,0))&gt;0)*(final_df!$E$2:$E$100=F$1)) /COUNTIF(final_df!$E$2:$E$100, F$1)</f>
        <v>0.35714285714285715</v>
      </c>
      <c r="G42" s="5">
        <f>SUMPRODUCT((INDEX(final_df!$B$2:$ZZ$100,,MATCH($C42,final_df!$B$1:$ZZ$1,0))&gt;0)*(final_df!$AM$2:$AM$100=G$1)) /COUNTIF(final_df!$AM$2:$AM$100, G$1)</f>
        <v>0.44444444444444442</v>
      </c>
      <c r="H42" s="5">
        <f>SUMPRODUCT((INDEX(final_df!$B$2:$ZZ$100,,MATCH($C42,final_df!$B$1:$ZZ$1,0))&gt;0)*(final_df!$AM$2:$AM$100=H$1)) /COUNTIF(final_df!$AM$2:$AM$100, H$1)</f>
        <v>0.47368421052631576</v>
      </c>
      <c r="I42" s="5">
        <f>SUMPRODUCT((INDEX(final_df!$B$2:$ZZ$100,,MATCH($C42,final_df!$B$1:$ZZ$1,0))&gt;0)*(final_df!$AM$2:$AM$100=I$1)) /COUNTIF(final_df!$AM$2:$AM$100, I$1)</f>
        <v>0.42105263157894735</v>
      </c>
    </row>
    <row r="43" spans="1:9" x14ac:dyDescent="0.25">
      <c r="A43" s="21"/>
      <c r="B43" s="4" t="s">
        <v>427</v>
      </c>
      <c r="C43" s="1" t="s">
        <v>81</v>
      </c>
      <c r="D43" s="5">
        <f>SUMPRODUCT((INDEX(final_df!$B$2:$ZZ$100,,MATCH(C43,final_df!$B$1:$ZZ$1,0))&gt;0)*1)/56</f>
        <v>0.23214285714285715</v>
      </c>
      <c r="E43" s="5">
        <f>SUMPRODUCT((INDEX(final_df!$B$2:$ZZ$100,,MATCH($C43,final_df!$B$1:$ZZ$1,0))&gt;0)*(final_df!$E$2:$E$100=E$1)) /COUNTIF(final_df!$E$2:$E$100, E$1)</f>
        <v>0.2857142857142857</v>
      </c>
      <c r="F43" s="5">
        <f>SUMPRODUCT((INDEX(final_df!$B$2:$ZZ$100,,MATCH($C43,final_df!$B$1:$ZZ$1,0))&gt;0)*(final_df!$E$2:$E$100=F$1)) /COUNTIF(final_df!$E$2:$E$100, F$1)</f>
        <v>0.17857142857142858</v>
      </c>
      <c r="G43" s="5">
        <f>SUMPRODUCT((INDEX(final_df!$B$2:$ZZ$100,,MATCH($C43,final_df!$B$1:$ZZ$1,0))&gt;0)*(final_df!$AM$2:$AM$100=G$1)) /COUNTIF(final_df!$AM$2:$AM$100, G$1)</f>
        <v>0.16666666666666666</v>
      </c>
      <c r="H43" s="5">
        <f>SUMPRODUCT((INDEX(final_df!$B$2:$ZZ$100,,MATCH($C43,final_df!$B$1:$ZZ$1,0))&gt;0)*(final_df!$AM$2:$AM$100=H$1)) /COUNTIF(final_df!$AM$2:$AM$100, H$1)</f>
        <v>0.42105263157894735</v>
      </c>
      <c r="I43" s="5">
        <f>SUMPRODUCT((INDEX(final_df!$B$2:$ZZ$100,,MATCH($C43,final_df!$B$1:$ZZ$1,0))&gt;0)*(final_df!$AM$2:$AM$100=I$1)) /COUNTIF(final_df!$AM$2:$AM$100, I$1)</f>
        <v>0.10526315789473684</v>
      </c>
    </row>
    <row r="44" spans="1:9" x14ac:dyDescent="0.25">
      <c r="A44" s="21"/>
      <c r="B44" s="4" t="s">
        <v>399</v>
      </c>
      <c r="C44" s="1" t="s">
        <v>52</v>
      </c>
      <c r="D44" s="5">
        <f>SUMPRODUCT((INDEX(final_df!$B$2:$ZZ$100,,MATCH(C44,final_df!$B$1:$ZZ$1,0))&gt;0)*1)/56</f>
        <v>0.4107142857142857</v>
      </c>
      <c r="E44" s="5">
        <f>SUMPRODUCT((INDEX(final_df!$B$2:$ZZ$100,,MATCH($C44,final_df!$B$1:$ZZ$1,0))&gt;0)*(final_df!$E$2:$E$100=E$1)) /COUNTIF(final_df!$E$2:$E$100, E$1)</f>
        <v>0.42857142857142855</v>
      </c>
      <c r="F44" s="5">
        <f>SUMPRODUCT((INDEX(final_df!$B$2:$ZZ$100,,MATCH($C44,final_df!$B$1:$ZZ$1,0))&gt;0)*(final_df!$E$2:$E$100=F$1)) /COUNTIF(final_df!$E$2:$E$100, F$1)</f>
        <v>0.39285714285714285</v>
      </c>
      <c r="G44" s="5">
        <f>SUMPRODUCT((INDEX(final_df!$B$2:$ZZ$100,,MATCH($C44,final_df!$B$1:$ZZ$1,0))&gt;0)*(final_df!$AM$2:$AM$100=G$1)) /COUNTIF(final_df!$AM$2:$AM$100, G$1)</f>
        <v>0.3888888888888889</v>
      </c>
      <c r="H44" s="5">
        <f>SUMPRODUCT((INDEX(final_df!$B$2:$ZZ$100,,MATCH($C44,final_df!$B$1:$ZZ$1,0))&gt;0)*(final_df!$AM$2:$AM$100=H$1)) /COUNTIF(final_df!$AM$2:$AM$100, H$1)</f>
        <v>0.57894736842105265</v>
      </c>
      <c r="I44" s="5">
        <f>SUMPRODUCT((INDEX(final_df!$B$2:$ZZ$100,,MATCH($C44,final_df!$B$1:$ZZ$1,0))&gt;0)*(final_df!$AM$2:$AM$100=I$1)) /COUNTIF(final_df!$AM$2:$AM$100, I$1)</f>
        <v>0.26315789473684209</v>
      </c>
    </row>
    <row r="45" spans="1:9" x14ac:dyDescent="0.25">
      <c r="A45" s="21"/>
      <c r="B45" s="4" t="s">
        <v>403</v>
      </c>
      <c r="C45" s="1" t="s">
        <v>88</v>
      </c>
      <c r="D45" s="5">
        <f>SUMPRODUCT((INDEX(final_df!$B$2:$ZZ$100,,MATCH(C45,final_df!$B$1:$ZZ$1,0))&gt;0)*1)/56</f>
        <v>0.23214285714285715</v>
      </c>
      <c r="E45" s="5">
        <f>SUMPRODUCT((INDEX(final_df!$B$2:$ZZ$100,,MATCH($C45,final_df!$B$1:$ZZ$1,0))&gt;0)*(final_df!$E$2:$E$100=E$1)) /COUNTIF(final_df!$E$2:$E$100, E$1)</f>
        <v>0.2857142857142857</v>
      </c>
      <c r="F45" s="5">
        <f>SUMPRODUCT((INDEX(final_df!$B$2:$ZZ$100,,MATCH($C45,final_df!$B$1:$ZZ$1,0))&gt;0)*(final_df!$E$2:$E$100=F$1)) /COUNTIF(final_df!$E$2:$E$100, F$1)</f>
        <v>0.17857142857142858</v>
      </c>
      <c r="G45" s="5">
        <f>SUMPRODUCT((INDEX(final_df!$B$2:$ZZ$100,,MATCH($C45,final_df!$B$1:$ZZ$1,0))&gt;0)*(final_df!$AM$2:$AM$100=G$1)) /COUNTIF(final_df!$AM$2:$AM$100, G$1)</f>
        <v>0</v>
      </c>
      <c r="H45" s="5">
        <f>SUMPRODUCT((INDEX(final_df!$B$2:$ZZ$100,,MATCH($C45,final_df!$B$1:$ZZ$1,0))&gt;0)*(final_df!$AM$2:$AM$100=H$1)) /COUNTIF(final_df!$AM$2:$AM$100, H$1)</f>
        <v>0.42105263157894735</v>
      </c>
      <c r="I45" s="5">
        <f>SUMPRODUCT((INDEX(final_df!$B$2:$ZZ$100,,MATCH($C45,final_df!$B$1:$ZZ$1,0))&gt;0)*(final_df!$AM$2:$AM$100=I$1)) /COUNTIF(final_df!$AM$2:$AM$100, I$1)</f>
        <v>0.26315789473684209</v>
      </c>
    </row>
    <row r="46" spans="1:9" x14ac:dyDescent="0.25">
      <c r="A46" s="21"/>
      <c r="B46" s="4" t="s">
        <v>430</v>
      </c>
      <c r="C46" s="1" t="s">
        <v>82</v>
      </c>
      <c r="D46" s="5">
        <f>SUMPRODUCT((INDEX(final_df!$B$2:$ZZ$100,,MATCH(C46,final_df!$B$1:$ZZ$1,0))&gt;0)*1)/56</f>
        <v>0.2857142857142857</v>
      </c>
      <c r="E46" s="5">
        <f>SUMPRODUCT((INDEX(final_df!$B$2:$ZZ$100,,MATCH($C46,final_df!$B$1:$ZZ$1,0))&gt;0)*(final_df!$E$2:$E$100=E$1)) /COUNTIF(final_df!$E$2:$E$100, E$1)</f>
        <v>0.25</v>
      </c>
      <c r="F46" s="5">
        <f>SUMPRODUCT((INDEX(final_df!$B$2:$ZZ$100,,MATCH($C46,final_df!$B$1:$ZZ$1,0))&gt;0)*(final_df!$E$2:$E$100=F$1)) /COUNTIF(final_df!$E$2:$E$100, F$1)</f>
        <v>0.32142857142857145</v>
      </c>
      <c r="G46" s="5">
        <f>SUMPRODUCT((INDEX(final_df!$B$2:$ZZ$100,,MATCH($C46,final_df!$B$1:$ZZ$1,0))&gt;0)*(final_df!$AM$2:$AM$100=G$1)) /COUNTIF(final_df!$AM$2:$AM$100, G$1)</f>
        <v>0.27777777777777779</v>
      </c>
      <c r="H46" s="5">
        <f>SUMPRODUCT((INDEX(final_df!$B$2:$ZZ$100,,MATCH($C46,final_df!$B$1:$ZZ$1,0))&gt;0)*(final_df!$AM$2:$AM$100=H$1)) /COUNTIF(final_df!$AM$2:$AM$100, H$1)</f>
        <v>0.36842105263157893</v>
      </c>
      <c r="I46" s="5">
        <f>SUMPRODUCT((INDEX(final_df!$B$2:$ZZ$100,,MATCH($C46,final_df!$B$1:$ZZ$1,0))&gt;0)*(final_df!$AM$2:$AM$100=I$1)) /COUNTIF(final_df!$AM$2:$AM$100, I$1)</f>
        <v>0.21052631578947367</v>
      </c>
    </row>
    <row r="47" spans="1:9" x14ac:dyDescent="0.25">
      <c r="A47" s="21"/>
      <c r="B47" s="4" t="s">
        <v>448</v>
      </c>
      <c r="C47" s="1" t="s">
        <v>83</v>
      </c>
      <c r="D47" s="5">
        <f>SUMPRODUCT((INDEX(final_df!$B$2:$ZZ$100,,MATCH(C47,final_df!$B$1:$ZZ$1,0))&gt;0)*1)/56</f>
        <v>0.25</v>
      </c>
      <c r="E47" s="5">
        <f>SUMPRODUCT((INDEX(final_df!$B$2:$ZZ$100,,MATCH($C47,final_df!$B$1:$ZZ$1,0))&gt;0)*(final_df!$E$2:$E$100=E$1)) /COUNTIF(final_df!$E$2:$E$100, E$1)</f>
        <v>0.25</v>
      </c>
      <c r="F47" s="5">
        <f>SUMPRODUCT((INDEX(final_df!$B$2:$ZZ$100,,MATCH($C47,final_df!$B$1:$ZZ$1,0))&gt;0)*(final_df!$E$2:$E$100=F$1)) /COUNTIF(final_df!$E$2:$E$100, F$1)</f>
        <v>0.25</v>
      </c>
      <c r="G47" s="5">
        <f>SUMPRODUCT((INDEX(final_df!$B$2:$ZZ$100,,MATCH($C47,final_df!$B$1:$ZZ$1,0))&gt;0)*(final_df!$AM$2:$AM$100=G$1)) /COUNTIF(final_df!$AM$2:$AM$100, G$1)</f>
        <v>0.27777777777777779</v>
      </c>
      <c r="H47" s="5">
        <f>SUMPRODUCT((INDEX(final_df!$B$2:$ZZ$100,,MATCH($C47,final_df!$B$1:$ZZ$1,0))&gt;0)*(final_df!$AM$2:$AM$100=H$1)) /COUNTIF(final_df!$AM$2:$AM$100, H$1)</f>
        <v>0.26315789473684209</v>
      </c>
      <c r="I47" s="5">
        <f>SUMPRODUCT((INDEX(final_df!$B$2:$ZZ$100,,MATCH($C47,final_df!$B$1:$ZZ$1,0))&gt;0)*(final_df!$AM$2:$AM$100=I$1)) /COUNTIF(final_df!$AM$2:$AM$100, I$1)</f>
        <v>0.21052631578947367</v>
      </c>
    </row>
    <row r="48" spans="1:9" x14ac:dyDescent="0.25">
      <c r="A48" s="21"/>
      <c r="B48" s="4" t="s">
        <v>402</v>
      </c>
      <c r="C48" s="1" t="s">
        <v>92</v>
      </c>
      <c r="D48" s="5">
        <f>SUMPRODUCT((INDEX(final_df!$B$2:$ZZ$100,,MATCH(C48,final_df!$B$1:$ZZ$1,0))&gt;0)*1)/56</f>
        <v>0.23214285714285715</v>
      </c>
      <c r="E48" s="5">
        <f>SUMPRODUCT((INDEX(final_df!$B$2:$ZZ$100,,MATCH($C48,final_df!$B$1:$ZZ$1,0))&gt;0)*(final_df!$E$2:$E$100=E$1)) /COUNTIF(final_df!$E$2:$E$100, E$1)</f>
        <v>0.2857142857142857</v>
      </c>
      <c r="F48" s="5">
        <f>SUMPRODUCT((INDEX(final_df!$B$2:$ZZ$100,,MATCH($C48,final_df!$B$1:$ZZ$1,0))&gt;0)*(final_df!$E$2:$E$100=F$1)) /COUNTIF(final_df!$E$2:$E$100, F$1)</f>
        <v>0.17857142857142858</v>
      </c>
      <c r="G48" s="5">
        <f>SUMPRODUCT((INDEX(final_df!$B$2:$ZZ$100,,MATCH($C48,final_df!$B$1:$ZZ$1,0))&gt;0)*(final_df!$AM$2:$AM$100=G$1)) /COUNTIF(final_df!$AM$2:$AM$100, G$1)</f>
        <v>0.16666666666666666</v>
      </c>
      <c r="H48" s="5">
        <f>SUMPRODUCT((INDEX(final_df!$B$2:$ZZ$100,,MATCH($C48,final_df!$B$1:$ZZ$1,0))&gt;0)*(final_df!$AM$2:$AM$100=H$1)) /COUNTIF(final_df!$AM$2:$AM$100, H$1)</f>
        <v>0.21052631578947367</v>
      </c>
      <c r="I48" s="5">
        <f>SUMPRODUCT((INDEX(final_df!$B$2:$ZZ$100,,MATCH($C48,final_df!$B$1:$ZZ$1,0))&gt;0)*(final_df!$AM$2:$AM$100=I$1)) /COUNTIF(final_df!$AM$2:$AM$100, I$1)</f>
        <v>0.31578947368421051</v>
      </c>
    </row>
    <row r="49" spans="1:9" x14ac:dyDescent="0.25">
      <c r="A49" s="21"/>
      <c r="B49" s="4" t="s">
        <v>429</v>
      </c>
      <c r="C49" s="1" t="s">
        <v>89</v>
      </c>
      <c r="D49" s="5">
        <f>SUMPRODUCT((INDEX(final_df!$B$2:$ZZ$100,,MATCH(C49,final_df!$B$1:$ZZ$1,0))&gt;0)*1)/56</f>
        <v>0.32142857142857145</v>
      </c>
      <c r="E49" s="5">
        <f>SUMPRODUCT((INDEX(final_df!$B$2:$ZZ$100,,MATCH($C49,final_df!$B$1:$ZZ$1,0))&gt;0)*(final_df!$E$2:$E$100=E$1)) /COUNTIF(final_df!$E$2:$E$100, E$1)</f>
        <v>0.35714285714285715</v>
      </c>
      <c r="F49" s="5">
        <f>SUMPRODUCT((INDEX(final_df!$B$2:$ZZ$100,,MATCH($C49,final_df!$B$1:$ZZ$1,0))&gt;0)*(final_df!$E$2:$E$100=F$1)) /COUNTIF(final_df!$E$2:$E$100, F$1)</f>
        <v>0.2857142857142857</v>
      </c>
      <c r="G49" s="5">
        <f>SUMPRODUCT((INDEX(final_df!$B$2:$ZZ$100,,MATCH($C49,final_df!$B$1:$ZZ$1,0))&gt;0)*(final_df!$AM$2:$AM$100=G$1)) /COUNTIF(final_df!$AM$2:$AM$100, G$1)</f>
        <v>0.1111111111111111</v>
      </c>
      <c r="H49" s="5">
        <f>SUMPRODUCT((INDEX(final_df!$B$2:$ZZ$100,,MATCH($C49,final_df!$B$1:$ZZ$1,0))&gt;0)*(final_df!$AM$2:$AM$100=H$1)) /COUNTIF(final_df!$AM$2:$AM$100, H$1)</f>
        <v>0.52631578947368418</v>
      </c>
      <c r="I49" s="5">
        <f>SUMPRODUCT((INDEX(final_df!$B$2:$ZZ$100,,MATCH($C49,final_df!$B$1:$ZZ$1,0))&gt;0)*(final_df!$AM$2:$AM$100=I$1)) /COUNTIF(final_df!$AM$2:$AM$100, I$1)</f>
        <v>0.31578947368421051</v>
      </c>
    </row>
    <row r="50" spans="1:9" x14ac:dyDescent="0.25">
      <c r="A50" s="21" t="s">
        <v>395</v>
      </c>
      <c r="B50" s="4" t="s">
        <v>394</v>
      </c>
      <c r="C50" s="1" t="s">
        <v>53</v>
      </c>
      <c r="D50" s="5">
        <f>SUMPRODUCT((INDEX(final_df!$B$2:$ZZ$100,,MATCH(C50,final_df!$B$1:$ZZ$1,0))&gt;0)*1)/56</f>
        <v>0.875</v>
      </c>
      <c r="E50" s="5">
        <f>SUMPRODUCT((INDEX(final_df!$B$2:$ZZ$100,,MATCH($C50,final_df!$B$1:$ZZ$1,0))&gt;0)*(final_df!$E$2:$E$100=E$1)) /COUNTIF(final_df!$E$2:$E$100, E$1)</f>
        <v>0.7857142857142857</v>
      </c>
      <c r="F50" s="5">
        <f>SUMPRODUCT((INDEX(final_df!$B$2:$ZZ$100,,MATCH($C50,final_df!$B$1:$ZZ$1,0))&gt;0)*(final_df!$E$2:$E$100=F$1)) /COUNTIF(final_df!$E$2:$E$100, F$1)</f>
        <v>0.9642857142857143</v>
      </c>
      <c r="G50" s="5">
        <f>SUMPRODUCT((INDEX(final_df!$B$2:$ZZ$100,,MATCH($C50,final_df!$B$1:$ZZ$1,0))&gt;0)*(final_df!$AM$2:$AM$100=G$1)) /COUNTIF(final_df!$AM$2:$AM$100, G$1)</f>
        <v>0.94444444444444442</v>
      </c>
      <c r="H50" s="5">
        <f>SUMPRODUCT((INDEX(final_df!$B$2:$ZZ$100,,MATCH($C50,final_df!$B$1:$ZZ$1,0))&gt;0)*(final_df!$AM$2:$AM$100=H$1)) /COUNTIF(final_df!$AM$2:$AM$100, H$1)</f>
        <v>0.78947368421052633</v>
      </c>
      <c r="I50" s="5">
        <f>SUMPRODUCT((INDEX(final_df!$B$2:$ZZ$100,,MATCH($C50,final_df!$B$1:$ZZ$1,0))&gt;0)*(final_df!$AM$2:$AM$100=I$1)) /COUNTIF(final_df!$AM$2:$AM$100, I$1)</f>
        <v>0.89473684210526316</v>
      </c>
    </row>
    <row r="51" spans="1:9" x14ac:dyDescent="0.25">
      <c r="A51" s="21"/>
      <c r="B51" s="4" t="s">
        <v>407</v>
      </c>
      <c r="C51" s="1" t="s">
        <v>80</v>
      </c>
      <c r="D51" s="5">
        <f>SUMPRODUCT((INDEX(final_df!$B$2:$ZZ$100,,MATCH(C51,final_df!$B$1:$ZZ$1,0))&gt;0)*1)/56</f>
        <v>0.32142857142857145</v>
      </c>
      <c r="E51" s="5">
        <f>SUMPRODUCT((INDEX(final_df!$B$2:$ZZ$100,,MATCH($C51,final_df!$B$1:$ZZ$1,0))&gt;0)*(final_df!$E$2:$E$100=E$1)) /COUNTIF(final_df!$E$2:$E$100, E$1)</f>
        <v>0.25</v>
      </c>
      <c r="F51" s="5">
        <f>SUMPRODUCT((INDEX(final_df!$B$2:$ZZ$100,,MATCH($C51,final_df!$B$1:$ZZ$1,0))&gt;0)*(final_df!$E$2:$E$100=F$1)) /COUNTIF(final_df!$E$2:$E$100, F$1)</f>
        <v>0.39285714285714285</v>
      </c>
      <c r="G51" s="5">
        <f>SUMPRODUCT((INDEX(final_df!$B$2:$ZZ$100,,MATCH($C51,final_df!$B$1:$ZZ$1,0))&gt;0)*(final_df!$AM$2:$AM$100=G$1)) /COUNTIF(final_df!$AM$2:$AM$100, G$1)</f>
        <v>0.27777777777777779</v>
      </c>
      <c r="H51" s="5">
        <f>SUMPRODUCT((INDEX(final_df!$B$2:$ZZ$100,,MATCH($C51,final_df!$B$1:$ZZ$1,0))&gt;0)*(final_df!$AM$2:$AM$100=H$1)) /COUNTIF(final_df!$AM$2:$AM$100, H$1)</f>
        <v>0.36842105263157893</v>
      </c>
      <c r="I51" s="5">
        <f>SUMPRODUCT((INDEX(final_df!$B$2:$ZZ$100,,MATCH($C51,final_df!$B$1:$ZZ$1,0))&gt;0)*(final_df!$AM$2:$AM$100=I$1)) /COUNTIF(final_df!$AM$2:$AM$100, I$1)</f>
        <v>0.31578947368421051</v>
      </c>
    </row>
    <row r="52" spans="1:9" x14ac:dyDescent="0.25">
      <c r="A52" s="21"/>
      <c r="B52" s="4" t="s">
        <v>436</v>
      </c>
      <c r="C52" s="1" t="s">
        <v>54</v>
      </c>
      <c r="D52" s="5">
        <f>SUMPRODUCT((INDEX(final_df!$B$2:$ZZ$100,,MATCH(C52,final_df!$B$1:$ZZ$1,0))&gt;0)*1)/56</f>
        <v>0.48214285714285715</v>
      </c>
      <c r="E52" s="5">
        <f>SUMPRODUCT((INDEX(final_df!$B$2:$ZZ$100,,MATCH($C52,final_df!$B$1:$ZZ$1,0))&gt;0)*(final_df!$E$2:$E$100=E$1)) /COUNTIF(final_df!$E$2:$E$100, E$1)</f>
        <v>0.4642857142857143</v>
      </c>
      <c r="F52" s="5">
        <f>SUMPRODUCT((INDEX(final_df!$B$2:$ZZ$100,,MATCH($C52,final_df!$B$1:$ZZ$1,0))&gt;0)*(final_df!$E$2:$E$100=F$1)) /COUNTIF(final_df!$E$2:$E$100, F$1)</f>
        <v>0.5</v>
      </c>
      <c r="G52" s="5">
        <f>SUMPRODUCT((INDEX(final_df!$B$2:$ZZ$100,,MATCH($C52,final_df!$B$1:$ZZ$1,0))&gt;0)*(final_df!$AM$2:$AM$100=G$1)) /COUNTIF(final_df!$AM$2:$AM$100, G$1)</f>
        <v>0.55555555555555558</v>
      </c>
      <c r="H52" s="5">
        <f>SUMPRODUCT((INDEX(final_df!$B$2:$ZZ$100,,MATCH($C52,final_df!$B$1:$ZZ$1,0))&gt;0)*(final_df!$AM$2:$AM$100=H$1)) /COUNTIF(final_df!$AM$2:$AM$100, H$1)</f>
        <v>0.42105263157894735</v>
      </c>
      <c r="I52" s="5">
        <f>SUMPRODUCT((INDEX(final_df!$B$2:$ZZ$100,,MATCH($C52,final_df!$B$1:$ZZ$1,0))&gt;0)*(final_df!$AM$2:$AM$100=I$1)) /COUNTIF(final_df!$AM$2:$AM$100, I$1)</f>
        <v>0.47368421052631576</v>
      </c>
    </row>
    <row r="53" spans="1:9" x14ac:dyDescent="0.25">
      <c r="A53" s="21"/>
      <c r="B53" s="4" t="s">
        <v>435</v>
      </c>
      <c r="C53" s="1" t="s">
        <v>55</v>
      </c>
      <c r="D53" s="5">
        <f>SUMPRODUCT((INDEX(final_df!$B$2:$ZZ$100,,MATCH(C53,final_df!$B$1:$ZZ$1,0))&gt;0)*1)/56</f>
        <v>0.7142857142857143</v>
      </c>
      <c r="E53" s="5">
        <f>SUMPRODUCT((INDEX(final_df!$B$2:$ZZ$100,,MATCH($C53,final_df!$B$1:$ZZ$1,0))&gt;0)*(final_df!$E$2:$E$100=E$1)) /COUNTIF(final_df!$E$2:$E$100, E$1)</f>
        <v>0.6428571428571429</v>
      </c>
      <c r="F53" s="5">
        <f>SUMPRODUCT((INDEX(final_df!$B$2:$ZZ$100,,MATCH($C53,final_df!$B$1:$ZZ$1,0))&gt;0)*(final_df!$E$2:$E$100=F$1)) /COUNTIF(final_df!$E$2:$E$100, F$1)</f>
        <v>0.7857142857142857</v>
      </c>
      <c r="G53" s="5">
        <f>SUMPRODUCT((INDEX(final_df!$B$2:$ZZ$100,,MATCH($C53,final_df!$B$1:$ZZ$1,0))&gt;0)*(final_df!$AM$2:$AM$100=G$1)) /COUNTIF(final_df!$AM$2:$AM$100, G$1)</f>
        <v>0.77777777777777779</v>
      </c>
      <c r="H53" s="5">
        <f>SUMPRODUCT((INDEX(final_df!$B$2:$ZZ$100,,MATCH($C53,final_df!$B$1:$ZZ$1,0))&gt;0)*(final_df!$AM$2:$AM$100=H$1)) /COUNTIF(final_df!$AM$2:$AM$100, H$1)</f>
        <v>0.73684210526315785</v>
      </c>
      <c r="I53" s="5">
        <f>SUMPRODUCT((INDEX(final_df!$B$2:$ZZ$100,,MATCH($C53,final_df!$B$1:$ZZ$1,0))&gt;0)*(final_df!$AM$2:$AM$100=I$1)) /COUNTIF(final_df!$AM$2:$AM$100, I$1)</f>
        <v>0.63157894736842102</v>
      </c>
    </row>
    <row r="54" spans="1:9" x14ac:dyDescent="0.25">
      <c r="A54" s="21"/>
      <c r="B54" s="4" t="s">
        <v>408</v>
      </c>
      <c r="C54" s="1" t="s">
        <v>79</v>
      </c>
      <c r="D54" s="5">
        <f>SUMPRODUCT((INDEX(final_df!$B$2:$ZZ$100,,MATCH(C54,final_df!$B$1:$ZZ$1,0))&gt;0)*1)/56</f>
        <v>0.6428571428571429</v>
      </c>
      <c r="E54" s="5">
        <f>SUMPRODUCT((INDEX(final_df!$B$2:$ZZ$100,,MATCH($C54,final_df!$B$1:$ZZ$1,0))&gt;0)*(final_df!$E$2:$E$100=E$1)) /COUNTIF(final_df!$E$2:$E$100, E$1)</f>
        <v>0.4642857142857143</v>
      </c>
      <c r="F54" s="5">
        <f>SUMPRODUCT((INDEX(final_df!$B$2:$ZZ$100,,MATCH($C54,final_df!$B$1:$ZZ$1,0))&gt;0)*(final_df!$E$2:$E$100=F$1)) /COUNTIF(final_df!$E$2:$E$100, F$1)</f>
        <v>0.8214285714285714</v>
      </c>
      <c r="G54" s="5">
        <f>SUMPRODUCT((INDEX(final_df!$B$2:$ZZ$100,,MATCH($C54,final_df!$B$1:$ZZ$1,0))&gt;0)*(final_df!$AM$2:$AM$100=G$1)) /COUNTIF(final_df!$AM$2:$AM$100, G$1)</f>
        <v>0.77777777777777779</v>
      </c>
      <c r="H54" s="5">
        <f>SUMPRODUCT((INDEX(final_df!$B$2:$ZZ$100,,MATCH($C54,final_df!$B$1:$ZZ$1,0))&gt;0)*(final_df!$AM$2:$AM$100=H$1)) /COUNTIF(final_df!$AM$2:$AM$100, H$1)</f>
        <v>0.57894736842105265</v>
      </c>
      <c r="I54" s="5">
        <f>SUMPRODUCT((INDEX(final_df!$B$2:$ZZ$100,,MATCH($C54,final_df!$B$1:$ZZ$1,0))&gt;0)*(final_df!$AM$2:$AM$100=I$1)) /COUNTIF(final_df!$AM$2:$AM$100, I$1)</f>
        <v>0.57894736842105265</v>
      </c>
    </row>
  </sheetData>
  <autoFilter ref="A1:C1">
    <sortState ref="A2:C55">
      <sortCondition ref="C1"/>
    </sortState>
  </autoFilter>
  <mergeCells count="12">
    <mergeCell ref="A50:A54"/>
    <mergeCell ref="A2:A5"/>
    <mergeCell ref="A6:A7"/>
    <mergeCell ref="A8:A12"/>
    <mergeCell ref="A14:A15"/>
    <mergeCell ref="A16:A18"/>
    <mergeCell ref="A19:A20"/>
    <mergeCell ref="A21:A26"/>
    <mergeCell ref="A27:A30"/>
    <mergeCell ref="A31:A35"/>
    <mergeCell ref="A36:A41"/>
    <mergeCell ref="A42:A49"/>
  </mergeCells>
  <conditionalFormatting sqref="D2:I5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2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workbookViewId="0">
      <pane xSplit="3" ySplit="2" topLeftCell="D12" activePane="bottomRight" state="frozen"/>
      <selection pane="topRight" activeCell="D1" sqref="D1"/>
      <selection pane="bottomLeft" activeCell="A3" sqref="A3"/>
      <selection pane="bottomRight" activeCell="K46" sqref="K46"/>
    </sheetView>
  </sheetViews>
  <sheetFormatPr defaultRowHeight="15" x14ac:dyDescent="0.25"/>
  <cols>
    <col min="1" max="1" width="16.28515625" customWidth="1"/>
    <col min="2" max="2" width="34.42578125" customWidth="1"/>
    <col min="3" max="3" width="75.85546875" hidden="1" customWidth="1"/>
    <col min="4" max="4" width="10.28515625" bestFit="1" customWidth="1"/>
    <col min="5" max="5" width="13.28515625" bestFit="1" customWidth="1"/>
    <col min="7" max="7" width="12" bestFit="1" customWidth="1"/>
    <col min="8" max="8" width="15.5703125" bestFit="1" customWidth="1"/>
    <col min="9" max="9" width="13.28515625" bestFit="1" customWidth="1"/>
    <col min="10" max="10" width="9.5703125" bestFit="1" customWidth="1"/>
    <col min="11" max="11" width="5.42578125" bestFit="1" customWidth="1"/>
    <col min="12" max="12" width="4.140625" bestFit="1" customWidth="1"/>
    <col min="13" max="13" width="5.140625" bestFit="1" customWidth="1"/>
    <col min="14" max="14" width="9.5703125" customWidth="1"/>
    <col min="15" max="15" width="11" bestFit="1" customWidth="1"/>
  </cols>
  <sheetData>
    <row r="1" spans="1:16" s="4" customFormat="1" x14ac:dyDescent="0.25">
      <c r="D1" s="27" t="s">
        <v>450</v>
      </c>
      <c r="E1" s="27"/>
      <c r="F1" s="27"/>
      <c r="G1" s="27"/>
      <c r="H1" s="27"/>
      <c r="I1" s="27"/>
      <c r="J1" s="28" t="s">
        <v>451</v>
      </c>
      <c r="K1" s="28"/>
      <c r="L1" s="28"/>
      <c r="M1" s="28"/>
      <c r="N1" s="28"/>
      <c r="O1" s="28"/>
    </row>
    <row r="2" spans="1:16" x14ac:dyDescent="0.25">
      <c r="A2" s="4" t="s">
        <v>382</v>
      </c>
      <c r="B2" s="4" t="s">
        <v>381</v>
      </c>
      <c r="C2" s="4" t="s">
        <v>383</v>
      </c>
      <c r="D2" s="4" t="s">
        <v>449</v>
      </c>
      <c r="E2" s="4" t="s">
        <v>148</v>
      </c>
      <c r="F2" s="4" t="s">
        <v>98</v>
      </c>
      <c r="G2" s="4" t="s">
        <v>113</v>
      </c>
      <c r="H2" s="4" t="s">
        <v>126</v>
      </c>
      <c r="I2" s="4" t="s">
        <v>144</v>
      </c>
      <c r="J2" s="6" t="s">
        <v>449</v>
      </c>
      <c r="K2" s="6" t="s">
        <v>148</v>
      </c>
      <c r="L2" s="6" t="s">
        <v>98</v>
      </c>
      <c r="M2" s="6" t="s">
        <v>113</v>
      </c>
      <c r="N2" s="6" t="s">
        <v>126</v>
      </c>
      <c r="O2" s="6" t="s">
        <v>144</v>
      </c>
      <c r="P2" s="6"/>
    </row>
    <row r="3" spans="1:16" x14ac:dyDescent="0.25">
      <c r="A3" s="21" t="s">
        <v>413</v>
      </c>
      <c r="B3" s="4" t="s">
        <v>412</v>
      </c>
      <c r="C3" s="1" t="s">
        <v>63</v>
      </c>
      <c r="D3" s="5">
        <f>IF(J3 &gt; 0, AVERAGE((INDEX(final_df_sentiment!$B$2:$ZZ$100,,MATCH($C3,final_df_sentiment!$B$1:$ZZ$1,0)))), "")</f>
        <v>0.27777777777777773</v>
      </c>
      <c r="E3" s="5">
        <f>IF(K3 &gt; 0, AVERAGEIF(final_df_sentiment!$E$2:$E$100,E$2,(INDEX(final_df_sentiment!$B$2:$ZZ$100,,MATCH($C3,final_df_sentiment!$B$1:$ZZ$1,0)))), "")</f>
        <v>6.6666666666666666E-2</v>
      </c>
      <c r="F3" s="5">
        <f>IF(L3 &gt; 0, AVERAGEIF(final_df_sentiment!$E$2:$E$100,F$2,(INDEX(final_df_sentiment!$B$2:$ZZ$100,,MATCH($C3,final_df_sentiment!$B$1:$ZZ$1,0)))), "")</f>
        <v>0.42857142857142855</v>
      </c>
      <c r="G3" s="5">
        <f>IF(M3 &gt; 0, AVERAGEIF(final_df_sentiment!$AM$2:$AM$100,G$2,(INDEX(final_df_sentiment!$B$2:$ZZ$100,,MATCH($C3,final_df_sentiment!$B$1:$ZZ$1,0)))), "")</f>
        <v>0.16666666666666666</v>
      </c>
      <c r="H3" s="5">
        <f>IF(N3 &gt; 0, AVERAGEIF(final_df_sentiment!$AM$2:$AM$100,H$2,(INDEX(final_df_sentiment!$B$2:$ZZ$100,,MATCH($C3,final_df_sentiment!$B$1:$ZZ$1,0)))), "")</f>
        <v>0.46666666666666662</v>
      </c>
      <c r="I3" s="5">
        <f>IF(O3 &gt; 0, AVERAGEIF(final_df_sentiment!$AM$2:$AM$100,I$2,(INDEX(final_df_sentiment!$B$2:$ZZ$100,,MATCH($C3,final_df_sentiment!$B$1:$ZZ$1,0)))), "")</f>
        <v>0</v>
      </c>
      <c r="J3">
        <f>COUNTIFS((INDEX(final_df_sentiment!$B$2:$ZZ$100,,MATCH($C3,final_df_sentiment!$B$1:$ZZ$1,0))), "&lt;&gt;")</f>
        <v>12</v>
      </c>
      <c r="K3" s="4">
        <f>COUNTIFS((INDEX(final_df_sentiment!$B$2:$ZZ$100,,MATCH($C3,final_df_sentiment!$B$1:$ZZ$1,0))), "&lt;&gt;", final_df_sentiment!$E$2:$E$100, K$2)</f>
        <v>5</v>
      </c>
      <c r="L3" s="4">
        <f>COUNTIFS((INDEX(final_df_sentiment!$B$2:$ZZ$100,,MATCH($C3,final_df_sentiment!$B$1:$ZZ$1,0))), "&lt;&gt;", final_df_sentiment!$E$2:$E$100, L$2)</f>
        <v>7</v>
      </c>
      <c r="M3" s="4">
        <f>COUNTIFS((INDEX(final_df_sentiment!$B$2:$ZZ$100,,MATCH($C3,final_df_sentiment!$B$1:$ZZ$1,0))), "&lt;&gt;", final_df_sentiment!$AM$2:$AM$100, M$2)</f>
        <v>6</v>
      </c>
      <c r="N3" s="4">
        <f>COUNTIFS((INDEX(final_df_sentiment!$B$2:$ZZ$100,,MATCH($C3,final_df_sentiment!$B$1:$ZZ$1,0))), "&lt;&gt;", final_df_sentiment!$AM$2:$AM$100, N$2)</f>
        <v>5</v>
      </c>
      <c r="O3" s="4">
        <f>COUNTIFS((INDEX(final_df_sentiment!$B$2:$ZZ$100,,MATCH($C3,final_df_sentiment!$B$1:$ZZ$1,0))), "&lt;&gt;", final_df_sentiment!$AM$2:$AM$100, O$2)</f>
        <v>1</v>
      </c>
    </row>
    <row r="4" spans="1:16" x14ac:dyDescent="0.25">
      <c r="A4" s="21"/>
      <c r="B4" s="4" t="s">
        <v>415</v>
      </c>
      <c r="C4" s="1" t="s">
        <v>94</v>
      </c>
      <c r="D4" s="5">
        <f>IF(J4 &gt; 0, AVERAGE((INDEX(final_df_sentiment!$B$2:$ZZ$100,,MATCH($C4,final_df_sentiment!$B$1:$ZZ$1,0)))), "")</f>
        <v>0.66666666666666663</v>
      </c>
      <c r="E4" s="5" t="str">
        <f>IF(K4 &gt; 0, AVERAGEIF(final_df_sentiment!$E$2:$E$100,E$2,(INDEX(final_df_sentiment!$B$2:$ZZ$100,,MATCH($C4,final_df_sentiment!$B$1:$ZZ$1,0)))), "")</f>
        <v/>
      </c>
      <c r="F4" s="5">
        <f>IF(L4 &gt; 0, AVERAGEIF(final_df_sentiment!$E$2:$E$100,F$2,(INDEX(final_df_sentiment!$B$2:$ZZ$100,,MATCH($C4,final_df_sentiment!$B$1:$ZZ$1,0)))), "")</f>
        <v>0.66666666666666663</v>
      </c>
      <c r="G4" s="5">
        <f>IF(M4 &gt; 0, AVERAGEIF(final_df_sentiment!$AM$2:$AM$100,G$2,(INDEX(final_df_sentiment!$B$2:$ZZ$100,,MATCH($C4,final_df_sentiment!$B$1:$ZZ$1,0)))), "")</f>
        <v>0.5</v>
      </c>
      <c r="H4" s="5">
        <f>IF(N4 &gt; 0, AVERAGEIF(final_df_sentiment!$AM$2:$AM$100,H$2,(INDEX(final_df_sentiment!$B$2:$ZZ$100,,MATCH($C4,final_df_sentiment!$B$1:$ZZ$1,0)))), "")</f>
        <v>1</v>
      </c>
      <c r="I4" s="5" t="str">
        <f>IF(O4 &gt; 0, AVERAGEIF(final_df_sentiment!$AM$2:$AM$100,I$2,(INDEX(final_df_sentiment!$B$2:$ZZ$100,,MATCH($C4,final_df_sentiment!$B$1:$ZZ$1,0)))), "")</f>
        <v/>
      </c>
      <c r="J4" s="4">
        <f>COUNTIFS((INDEX(final_df_sentiment!$B$2:$ZZ$100,,MATCH($C4,final_df_sentiment!$B$1:$ZZ$1,0))), "&lt;&gt;")</f>
        <v>3</v>
      </c>
      <c r="K4" s="4">
        <f>COUNTIFS((INDEX(final_df_sentiment!$B$2:$ZZ$100,,MATCH($C4,final_df_sentiment!$B$1:$ZZ$1,0))), "&lt;&gt;", final_df_sentiment!$E$2:$E$100, K$2)</f>
        <v>0</v>
      </c>
      <c r="L4" s="4">
        <f>COUNTIFS((INDEX(final_df_sentiment!$B$2:$ZZ$100,,MATCH($C4,final_df_sentiment!$B$1:$ZZ$1,0))), "&lt;&gt;", final_df_sentiment!$E$2:$E$100, L$2)</f>
        <v>3</v>
      </c>
      <c r="M4" s="4">
        <f>COUNTIFS((INDEX(final_df_sentiment!$B$2:$ZZ$100,,MATCH($C4,final_df_sentiment!$B$1:$ZZ$1,0))), "&lt;&gt;", final_df_sentiment!$AM$2:$AM$100, M$2)</f>
        <v>2</v>
      </c>
      <c r="N4" s="4">
        <f>COUNTIFS((INDEX(final_df_sentiment!$B$2:$ZZ$100,,MATCH($C4,final_df_sentiment!$B$1:$ZZ$1,0))), "&lt;&gt;", final_df_sentiment!$AM$2:$AM$100, N$2)</f>
        <v>1</v>
      </c>
      <c r="O4" s="4">
        <f>COUNTIFS((INDEX(final_df_sentiment!$B$2:$ZZ$100,,MATCH($C4,final_df_sentiment!$B$1:$ZZ$1,0))), "&lt;&gt;", final_df_sentiment!$AM$2:$AM$100, O$2)</f>
        <v>0</v>
      </c>
    </row>
    <row r="5" spans="1:16" x14ac:dyDescent="0.25">
      <c r="A5" s="21"/>
      <c r="B5" s="4" t="s">
        <v>426</v>
      </c>
      <c r="C5" s="1" t="s">
        <v>61</v>
      </c>
      <c r="D5" s="5">
        <f>IF(J5 &gt; 0, AVERAGE((INDEX(final_df_sentiment!$B$2:$ZZ$100,,MATCH($C5,final_df_sentiment!$B$1:$ZZ$1,0)))), "")</f>
        <v>0</v>
      </c>
      <c r="E5" s="5">
        <f>IF(K5 &gt; 0, AVERAGEIF(final_df_sentiment!$E$2:$E$100,E$2,(INDEX(final_df_sentiment!$B$2:$ZZ$100,,MATCH($C5,final_df_sentiment!$B$1:$ZZ$1,0)))), "")</f>
        <v>0</v>
      </c>
      <c r="F5" s="5">
        <f>IF(L5 &gt; 0, AVERAGEIF(final_df_sentiment!$E$2:$E$100,F$2,(INDEX(final_df_sentiment!$B$2:$ZZ$100,,MATCH($C5,final_df_sentiment!$B$1:$ZZ$1,0)))), "")</f>
        <v>0</v>
      </c>
      <c r="G5" s="5">
        <f>IF(M5 &gt; 0, AVERAGEIF(final_df_sentiment!$AM$2:$AM$100,G$2,(INDEX(final_df_sentiment!$B$2:$ZZ$100,,MATCH($C5,final_df_sentiment!$B$1:$ZZ$1,0)))), "")</f>
        <v>0</v>
      </c>
      <c r="H5" s="5">
        <f>IF(N5 &gt; 0, AVERAGEIF(final_df_sentiment!$AM$2:$AM$100,H$2,(INDEX(final_df_sentiment!$B$2:$ZZ$100,,MATCH($C5,final_df_sentiment!$B$1:$ZZ$1,0)))), "")</f>
        <v>0</v>
      </c>
      <c r="I5" s="5" t="str">
        <f>IF(O5 &gt; 0, AVERAGEIF(final_df_sentiment!$AM$2:$AM$100,I$2,(INDEX(final_df_sentiment!$B$2:$ZZ$100,,MATCH($C5,final_df_sentiment!$B$1:$ZZ$1,0)))), "")</f>
        <v/>
      </c>
      <c r="J5" s="4">
        <f>COUNTIFS((INDEX(final_df_sentiment!$B$2:$ZZ$100,,MATCH($C5,final_df_sentiment!$B$1:$ZZ$1,0))), "&lt;&gt;")</f>
        <v>4</v>
      </c>
      <c r="K5" s="4">
        <f>COUNTIFS((INDEX(final_df_sentiment!$B$2:$ZZ$100,,MATCH($C5,final_df_sentiment!$B$1:$ZZ$1,0))), "&lt;&gt;", final_df_sentiment!$E$2:$E$100, K$2)</f>
        <v>2</v>
      </c>
      <c r="L5" s="4">
        <f>COUNTIFS((INDEX(final_df_sentiment!$B$2:$ZZ$100,,MATCH($C5,final_df_sentiment!$B$1:$ZZ$1,0))), "&lt;&gt;", final_df_sentiment!$E$2:$E$100, L$2)</f>
        <v>2</v>
      </c>
      <c r="M5" s="4">
        <f>COUNTIFS((INDEX(final_df_sentiment!$B$2:$ZZ$100,,MATCH($C5,final_df_sentiment!$B$1:$ZZ$1,0))), "&lt;&gt;", final_df_sentiment!$AM$2:$AM$100, M$2)</f>
        <v>2</v>
      </c>
      <c r="N5" s="4">
        <f>COUNTIFS((INDEX(final_df_sentiment!$B$2:$ZZ$100,,MATCH($C5,final_df_sentiment!$B$1:$ZZ$1,0))), "&lt;&gt;", final_df_sentiment!$AM$2:$AM$100, N$2)</f>
        <v>2</v>
      </c>
      <c r="O5" s="4">
        <f>COUNTIFS((INDEX(final_df_sentiment!$B$2:$ZZ$100,,MATCH($C5,final_df_sentiment!$B$1:$ZZ$1,0))), "&lt;&gt;", final_df_sentiment!$AM$2:$AM$100, O$2)</f>
        <v>0</v>
      </c>
    </row>
    <row r="6" spans="1:16" x14ac:dyDescent="0.25">
      <c r="A6" s="21"/>
      <c r="B6" s="4" t="s">
        <v>414</v>
      </c>
      <c r="C6" s="1" t="s">
        <v>91</v>
      </c>
      <c r="D6" s="5">
        <f>IF(J6 &gt; 0, AVERAGE((INDEX(final_df_sentiment!$B$2:$ZZ$100,,MATCH($C6,final_df_sentiment!$B$1:$ZZ$1,0)))), "")</f>
        <v>0.5</v>
      </c>
      <c r="E6" s="5" t="str">
        <f>IF(K6 &gt; 0, AVERAGEIF(final_df_sentiment!$E$2:$E$100,E$2,(INDEX(final_df_sentiment!$B$2:$ZZ$100,,MATCH($C6,final_df_sentiment!$B$1:$ZZ$1,0)))), "")</f>
        <v/>
      </c>
      <c r="F6" s="5">
        <f>IF(L6 &gt; 0, AVERAGEIF(final_df_sentiment!$E$2:$E$100,F$2,(INDEX(final_df_sentiment!$B$2:$ZZ$100,,MATCH($C6,final_df_sentiment!$B$1:$ZZ$1,0)))), "")</f>
        <v>0.5</v>
      </c>
      <c r="G6" s="5">
        <f>IF(M6 &gt; 0, AVERAGEIF(final_df_sentiment!$AM$2:$AM$100,G$2,(INDEX(final_df_sentiment!$B$2:$ZZ$100,,MATCH($C6,final_df_sentiment!$B$1:$ZZ$1,0)))), "")</f>
        <v>0</v>
      </c>
      <c r="H6" s="5">
        <f>IF(N6 &gt; 0, AVERAGEIF(final_df_sentiment!$AM$2:$AM$100,H$2,(INDEX(final_df_sentiment!$B$2:$ZZ$100,,MATCH($C6,final_df_sentiment!$B$1:$ZZ$1,0)))), "")</f>
        <v>1</v>
      </c>
      <c r="I6" s="5" t="str">
        <f>IF(O6 &gt; 0, AVERAGEIF(final_df_sentiment!$AM$2:$AM$100,I$2,(INDEX(final_df_sentiment!$B$2:$ZZ$100,,MATCH($C6,final_df_sentiment!$B$1:$ZZ$1,0)))), "")</f>
        <v/>
      </c>
      <c r="J6" s="4">
        <f>COUNTIFS((INDEX(final_df_sentiment!$B$2:$ZZ$100,,MATCH($C6,final_df_sentiment!$B$1:$ZZ$1,0))), "&lt;&gt;")</f>
        <v>2</v>
      </c>
      <c r="K6" s="4">
        <f>COUNTIFS((INDEX(final_df_sentiment!$B$2:$ZZ$100,,MATCH($C6,final_df_sentiment!$B$1:$ZZ$1,0))), "&lt;&gt;", final_df_sentiment!$E$2:$E$100, K$2)</f>
        <v>0</v>
      </c>
      <c r="L6" s="4">
        <f>COUNTIFS((INDEX(final_df_sentiment!$B$2:$ZZ$100,,MATCH($C6,final_df_sentiment!$B$1:$ZZ$1,0))), "&lt;&gt;", final_df_sentiment!$E$2:$E$100, L$2)</f>
        <v>2</v>
      </c>
      <c r="M6" s="4">
        <f>COUNTIFS((INDEX(final_df_sentiment!$B$2:$ZZ$100,,MATCH($C6,final_df_sentiment!$B$1:$ZZ$1,0))), "&lt;&gt;", final_df_sentiment!$AM$2:$AM$100, M$2)</f>
        <v>1</v>
      </c>
      <c r="N6" s="4">
        <f>COUNTIFS((INDEX(final_df_sentiment!$B$2:$ZZ$100,,MATCH($C6,final_df_sentiment!$B$1:$ZZ$1,0))), "&lt;&gt;", final_df_sentiment!$AM$2:$AM$100, N$2)</f>
        <v>1</v>
      </c>
      <c r="O6" s="4">
        <f>COUNTIFS((INDEX(final_df_sentiment!$B$2:$ZZ$100,,MATCH($C6,final_df_sentiment!$B$1:$ZZ$1,0))), "&lt;&gt;", final_df_sentiment!$AM$2:$AM$100, O$2)</f>
        <v>0</v>
      </c>
    </row>
    <row r="7" spans="1:16" x14ac:dyDescent="0.25">
      <c r="A7" s="21"/>
      <c r="B7" s="4" t="s">
        <v>428</v>
      </c>
      <c r="C7" s="1" t="s">
        <v>62</v>
      </c>
      <c r="D7" s="5">
        <f>IF(J7 &gt; 0, AVERAGE((INDEX(final_df_sentiment!$B$2:$ZZ$100,,MATCH($C7,final_df_sentiment!$B$1:$ZZ$1,0)))), "")</f>
        <v>0</v>
      </c>
      <c r="E7" s="5">
        <f>IF(K7 &gt; 0, AVERAGEIF(final_df_sentiment!$E$2:$E$100,E$2,(INDEX(final_df_sentiment!$B$2:$ZZ$100,,MATCH($C7,final_df_sentiment!$B$1:$ZZ$1,0)))), "")</f>
        <v>0</v>
      </c>
      <c r="F7" s="5">
        <f>IF(L7 &gt; 0, AVERAGEIF(final_df_sentiment!$E$2:$E$100,F$2,(INDEX(final_df_sentiment!$B$2:$ZZ$100,,MATCH($C7,final_df_sentiment!$B$1:$ZZ$1,0)))), "")</f>
        <v>0</v>
      </c>
      <c r="G7" s="5">
        <f>IF(M7 &gt; 0, AVERAGEIF(final_df_sentiment!$AM$2:$AM$100,G$2,(INDEX(final_df_sentiment!$B$2:$ZZ$100,,MATCH($C7,final_df_sentiment!$B$1:$ZZ$1,0)))), "")</f>
        <v>0</v>
      </c>
      <c r="H7" s="5" t="str">
        <f>IF(N7 &gt; 0, AVERAGEIF(final_df_sentiment!$AM$2:$AM$100,H$2,(INDEX(final_df_sentiment!$B$2:$ZZ$100,,MATCH($C7,final_df_sentiment!$B$1:$ZZ$1,0)))), "")</f>
        <v/>
      </c>
      <c r="I7" s="5" t="str">
        <f>IF(O7 &gt; 0, AVERAGEIF(final_df_sentiment!$AM$2:$AM$100,I$2,(INDEX(final_df_sentiment!$B$2:$ZZ$100,,MATCH($C7,final_df_sentiment!$B$1:$ZZ$1,0)))), "")</f>
        <v/>
      </c>
      <c r="J7" s="4">
        <f>COUNTIFS((INDEX(final_df_sentiment!$B$2:$ZZ$100,,MATCH($C7,final_df_sentiment!$B$1:$ZZ$1,0))), "&lt;&gt;")</f>
        <v>3</v>
      </c>
      <c r="K7" s="4">
        <f>COUNTIFS((INDEX(final_df_sentiment!$B$2:$ZZ$100,,MATCH($C7,final_df_sentiment!$B$1:$ZZ$1,0))), "&lt;&gt;", final_df_sentiment!$E$2:$E$100, K$2)</f>
        <v>2</v>
      </c>
      <c r="L7" s="4">
        <f>COUNTIFS((INDEX(final_df_sentiment!$B$2:$ZZ$100,,MATCH($C7,final_df_sentiment!$B$1:$ZZ$1,0))), "&lt;&gt;", final_df_sentiment!$E$2:$E$100, L$2)</f>
        <v>1</v>
      </c>
      <c r="M7" s="4">
        <f>COUNTIFS((INDEX(final_df_sentiment!$B$2:$ZZ$100,,MATCH($C7,final_df_sentiment!$B$1:$ZZ$1,0))), "&lt;&gt;", final_df_sentiment!$AM$2:$AM$100, M$2)</f>
        <v>3</v>
      </c>
      <c r="N7" s="4">
        <f>COUNTIFS((INDEX(final_df_sentiment!$B$2:$ZZ$100,,MATCH($C7,final_df_sentiment!$B$1:$ZZ$1,0))), "&lt;&gt;", final_df_sentiment!$AM$2:$AM$100, N$2)</f>
        <v>0</v>
      </c>
      <c r="O7" s="4">
        <f>COUNTIFS((INDEX(final_df_sentiment!$B$2:$ZZ$100,,MATCH($C7,final_df_sentiment!$B$1:$ZZ$1,0))), "&lt;&gt;", final_df_sentiment!$AM$2:$AM$100, O$2)</f>
        <v>0</v>
      </c>
    </row>
    <row r="8" spans="1:16" x14ac:dyDescent="0.25">
      <c r="A8" s="19" t="s">
        <v>406</v>
      </c>
      <c r="B8" s="4" t="s">
        <v>406</v>
      </c>
      <c r="C8" s="1" t="s">
        <v>64</v>
      </c>
      <c r="D8" s="5">
        <f>IF(J8 &gt; 0, AVERAGE((INDEX(final_df_sentiment!$B$2:$ZZ$100,,MATCH($C8,final_df_sentiment!$B$1:$ZZ$1,0)))), "")</f>
        <v>0.64942528735632177</v>
      </c>
      <c r="E8" s="5">
        <f>IF(K8 &gt; 0, AVERAGEIF(final_df_sentiment!$E$2:$E$100,E$2,(INDEX(final_df_sentiment!$B$2:$ZZ$100,,MATCH($C8,final_df_sentiment!$B$1:$ZZ$1,0)))), "")</f>
        <v>0.73076923076923073</v>
      </c>
      <c r="F8" s="5">
        <f>IF(L8 &gt; 0, AVERAGEIF(final_df_sentiment!$E$2:$E$100,F$2,(INDEX(final_df_sentiment!$B$2:$ZZ$100,,MATCH($C8,final_df_sentiment!$B$1:$ZZ$1,0)))), "")</f>
        <v>0.58333333333333326</v>
      </c>
      <c r="G8" s="5">
        <f>IF(M8 &gt; 0, AVERAGEIF(final_df_sentiment!$AM$2:$AM$100,G$2,(INDEX(final_df_sentiment!$B$2:$ZZ$100,,MATCH($C8,final_df_sentiment!$B$1:$ZZ$1,0)))), "")</f>
        <v>0.33333333333333331</v>
      </c>
      <c r="H8" s="5">
        <f>IF(N8 &gt; 0, AVERAGEIF(final_df_sentiment!$AM$2:$AM$100,H$2,(INDEX(final_df_sentiment!$B$2:$ZZ$100,,MATCH($C8,final_df_sentiment!$B$1:$ZZ$1,0)))), "")</f>
        <v>0.65384615384615385</v>
      </c>
      <c r="I8" s="5">
        <f>IF(O8 &gt; 0, AVERAGEIF(final_df_sentiment!$AM$2:$AM$100,I$2,(INDEX(final_df_sentiment!$B$2:$ZZ$100,,MATCH($C8,final_df_sentiment!$B$1:$ZZ$1,0)))), "")</f>
        <v>0.71794871794871784</v>
      </c>
      <c r="J8" s="4">
        <f>COUNTIFS((INDEX(final_df_sentiment!$B$2:$ZZ$100,,MATCH($C8,final_df_sentiment!$B$1:$ZZ$1,0))), "&lt;&gt;")</f>
        <v>29</v>
      </c>
      <c r="K8" s="4">
        <f>COUNTIFS((INDEX(final_df_sentiment!$B$2:$ZZ$100,,MATCH($C8,final_df_sentiment!$B$1:$ZZ$1,0))), "&lt;&gt;", final_df_sentiment!$E$2:$E$100, K$2)</f>
        <v>13</v>
      </c>
      <c r="L8" s="4">
        <f>COUNTIFS((INDEX(final_df_sentiment!$B$2:$ZZ$100,,MATCH($C8,final_df_sentiment!$B$1:$ZZ$1,0))), "&lt;&gt;", final_df_sentiment!$E$2:$E$100, L$2)</f>
        <v>16</v>
      </c>
      <c r="M8" s="4">
        <f>COUNTIFS((INDEX(final_df_sentiment!$B$2:$ZZ$100,,MATCH($C8,final_df_sentiment!$B$1:$ZZ$1,0))), "&lt;&gt;", final_df_sentiment!$AM$2:$AM$100, M$2)</f>
        <v>3</v>
      </c>
      <c r="N8" s="4">
        <f>COUNTIFS((INDEX(final_df_sentiment!$B$2:$ZZ$100,,MATCH($C8,final_df_sentiment!$B$1:$ZZ$1,0))), "&lt;&gt;", final_df_sentiment!$AM$2:$AM$100, N$2)</f>
        <v>13</v>
      </c>
      <c r="O8" s="4">
        <f>COUNTIFS((INDEX(final_df_sentiment!$B$2:$ZZ$100,,MATCH($C8,final_df_sentiment!$B$1:$ZZ$1,0))), "&lt;&gt;", final_df_sentiment!$AM$2:$AM$100, O$2)</f>
        <v>13</v>
      </c>
    </row>
    <row r="9" spans="1:16" x14ac:dyDescent="0.25">
      <c r="A9" s="21" t="s">
        <v>421</v>
      </c>
      <c r="B9" s="4" t="s">
        <v>420</v>
      </c>
      <c r="C9" s="1" t="s">
        <v>65</v>
      </c>
      <c r="D9" s="5">
        <f>IF(J9 &gt; 0, AVERAGE((INDEX(final_df_sentiment!$B$2:$ZZ$100,,MATCH($C9,final_df_sentiment!$B$1:$ZZ$1,0)))), "")</f>
        <v>0.9285714285714286</v>
      </c>
      <c r="E9" s="5">
        <f>IF(K9 &gt; 0, AVERAGEIF(final_df_sentiment!$E$2:$E$100,E$2,(INDEX(final_df_sentiment!$B$2:$ZZ$100,,MATCH($C9,final_df_sentiment!$B$1:$ZZ$1,0)))), "")</f>
        <v>1</v>
      </c>
      <c r="F9" s="5">
        <f>IF(L9 &gt; 0, AVERAGEIF(final_df_sentiment!$E$2:$E$100,F$2,(INDEX(final_df_sentiment!$B$2:$ZZ$100,,MATCH($C9,final_df_sentiment!$B$1:$ZZ$1,0)))), "")</f>
        <v>0.9</v>
      </c>
      <c r="G9" s="5">
        <f>IF(M9 &gt; 0, AVERAGEIF(final_df_sentiment!$AM$2:$AM$100,G$2,(INDEX(final_df_sentiment!$B$2:$ZZ$100,,MATCH($C9,final_df_sentiment!$B$1:$ZZ$1,0)))), "")</f>
        <v>1</v>
      </c>
      <c r="H9" s="5">
        <f>IF(N9 &gt; 0, AVERAGEIF(final_df_sentiment!$AM$2:$AM$100,H$2,(INDEX(final_df_sentiment!$B$2:$ZZ$100,,MATCH($C9,final_df_sentiment!$B$1:$ZZ$1,0)))), "")</f>
        <v>0.875</v>
      </c>
      <c r="I9" s="5">
        <f>IF(O9 &gt; 0, AVERAGEIF(final_df_sentiment!$AM$2:$AM$100,I$2,(INDEX(final_df_sentiment!$B$2:$ZZ$100,,MATCH($C9,final_df_sentiment!$B$1:$ZZ$1,0)))), "")</f>
        <v>1</v>
      </c>
      <c r="J9" s="4">
        <f>COUNTIFS((INDEX(final_df_sentiment!$B$2:$ZZ$100,,MATCH($C9,final_df_sentiment!$B$1:$ZZ$1,0))), "&lt;&gt;")</f>
        <v>7</v>
      </c>
      <c r="K9" s="4">
        <f>COUNTIFS((INDEX(final_df_sentiment!$B$2:$ZZ$100,,MATCH($C9,final_df_sentiment!$B$1:$ZZ$1,0))), "&lt;&gt;", final_df_sentiment!$E$2:$E$100, K$2)</f>
        <v>2</v>
      </c>
      <c r="L9" s="4">
        <f>COUNTIFS((INDEX(final_df_sentiment!$B$2:$ZZ$100,,MATCH($C9,final_df_sentiment!$B$1:$ZZ$1,0))), "&lt;&gt;", final_df_sentiment!$E$2:$E$100, L$2)</f>
        <v>5</v>
      </c>
      <c r="M9" s="4">
        <f>COUNTIFS((INDEX(final_df_sentiment!$B$2:$ZZ$100,,MATCH($C9,final_df_sentiment!$B$1:$ZZ$1,0))), "&lt;&gt;", final_df_sentiment!$AM$2:$AM$100, M$2)</f>
        <v>1</v>
      </c>
      <c r="N9" s="4">
        <f>COUNTIFS((INDEX(final_df_sentiment!$B$2:$ZZ$100,,MATCH($C9,final_df_sentiment!$B$1:$ZZ$1,0))), "&lt;&gt;", final_df_sentiment!$AM$2:$AM$100, N$2)</f>
        <v>4</v>
      </c>
      <c r="O9" s="4">
        <f>COUNTIFS((INDEX(final_df_sentiment!$B$2:$ZZ$100,,MATCH($C9,final_df_sentiment!$B$1:$ZZ$1,0))), "&lt;&gt;", final_df_sentiment!$AM$2:$AM$100, O$2)</f>
        <v>2</v>
      </c>
    </row>
    <row r="10" spans="1:16" x14ac:dyDescent="0.25">
      <c r="A10" s="21"/>
      <c r="B10" s="4" t="s">
        <v>422</v>
      </c>
      <c r="C10" s="1" t="s">
        <v>66</v>
      </c>
      <c r="D10" s="5">
        <f>IF(J10 &gt; 0, AVERAGE((INDEX(final_df_sentiment!$B$2:$ZZ$100,,MATCH($C10,final_df_sentiment!$B$1:$ZZ$1,0)))), "")</f>
        <v>0.64444444444444449</v>
      </c>
      <c r="E10" s="5">
        <f>IF(K10 &gt; 0, AVERAGEIF(final_df_sentiment!$E$2:$E$100,E$2,(INDEX(final_df_sentiment!$B$2:$ZZ$100,,MATCH($C10,final_df_sentiment!$B$1:$ZZ$1,0)))), "")</f>
        <v>0.53333333333333333</v>
      </c>
      <c r="F10" s="5">
        <f>IF(L10 &gt; 0, AVERAGEIF(final_df_sentiment!$E$2:$E$100,F$2,(INDEX(final_df_sentiment!$B$2:$ZZ$100,,MATCH($C10,final_df_sentiment!$B$1:$ZZ$1,0)))), "")</f>
        <v>0.7</v>
      </c>
      <c r="G10" s="5">
        <f>IF(M10 &gt; 0, AVERAGEIF(final_df_sentiment!$AM$2:$AM$100,G$2,(INDEX(final_df_sentiment!$B$2:$ZZ$100,,MATCH($C10,final_df_sentiment!$B$1:$ZZ$1,0)))), "")</f>
        <v>0.66666666666666663</v>
      </c>
      <c r="H10" s="5">
        <f>IF(N10 &gt; 0, AVERAGEIF(final_df_sentiment!$AM$2:$AM$100,H$2,(INDEX(final_df_sentiment!$B$2:$ZZ$100,,MATCH($C10,final_df_sentiment!$B$1:$ZZ$1,0)))), "")</f>
        <v>0.77777777777777768</v>
      </c>
      <c r="I10" s="5">
        <f>IF(O10 &gt; 0, AVERAGEIF(final_df_sentiment!$AM$2:$AM$100,I$2,(INDEX(final_df_sentiment!$B$2:$ZZ$100,,MATCH($C10,final_df_sentiment!$B$1:$ZZ$1,0)))), "")</f>
        <v>0.5</v>
      </c>
      <c r="J10" s="4">
        <f>COUNTIFS((INDEX(final_df_sentiment!$B$2:$ZZ$100,,MATCH($C10,final_df_sentiment!$B$1:$ZZ$1,0))), "&lt;&gt;")</f>
        <v>15</v>
      </c>
      <c r="K10" s="4">
        <f>COUNTIFS((INDEX(final_df_sentiment!$B$2:$ZZ$100,,MATCH($C10,final_df_sentiment!$B$1:$ZZ$1,0))), "&lt;&gt;", final_df_sentiment!$E$2:$E$100, K$2)</f>
        <v>5</v>
      </c>
      <c r="L10" s="4">
        <f>COUNTIFS((INDEX(final_df_sentiment!$B$2:$ZZ$100,,MATCH($C10,final_df_sentiment!$B$1:$ZZ$1,0))), "&lt;&gt;", final_df_sentiment!$E$2:$E$100, L$2)</f>
        <v>10</v>
      </c>
      <c r="M10" s="4">
        <f>COUNTIFS((INDEX(final_df_sentiment!$B$2:$ZZ$100,,MATCH($C10,final_df_sentiment!$B$1:$ZZ$1,0))), "&lt;&gt;", final_df_sentiment!$AM$2:$AM$100, M$2)</f>
        <v>3</v>
      </c>
      <c r="N10" s="4">
        <f>COUNTIFS((INDEX(final_df_sentiment!$B$2:$ZZ$100,,MATCH($C10,final_df_sentiment!$B$1:$ZZ$1,0))), "&lt;&gt;", final_df_sentiment!$AM$2:$AM$100, N$2)</f>
        <v>6</v>
      </c>
      <c r="O10" s="4">
        <f>COUNTIFS((INDEX(final_df_sentiment!$B$2:$ZZ$100,,MATCH($C10,final_df_sentiment!$B$1:$ZZ$1,0))), "&lt;&gt;", final_df_sentiment!$AM$2:$AM$100, O$2)</f>
        <v>6</v>
      </c>
    </row>
    <row r="11" spans="1:16" x14ac:dyDescent="0.25">
      <c r="A11" s="21" t="s">
        <v>417</v>
      </c>
      <c r="B11" s="4" t="s">
        <v>416</v>
      </c>
      <c r="C11" s="1" t="s">
        <v>56</v>
      </c>
      <c r="D11" s="5">
        <f>IF(J11 &gt; 0, AVERAGE((INDEX(final_df_sentiment!$B$2:$ZZ$100,,MATCH($C11,final_df_sentiment!$B$1:$ZZ$1,0)))), "")</f>
        <v>0.49019607843137247</v>
      </c>
      <c r="E11" s="5">
        <f>IF(K11 &gt; 0, AVERAGEIF(final_df_sentiment!$E$2:$E$100,E$2,(INDEX(final_df_sentiment!$B$2:$ZZ$100,,MATCH($C11,final_df_sentiment!$B$1:$ZZ$1,0)))), "")</f>
        <v>0.33333333333333331</v>
      </c>
      <c r="F11" s="5">
        <f>IF(L11 &gt; 0, AVERAGEIF(final_df_sentiment!$E$2:$E$100,F$2,(INDEX(final_df_sentiment!$B$2:$ZZ$100,,MATCH($C11,final_df_sentiment!$B$1:$ZZ$1,0)))), "")</f>
        <v>0.57575757575757569</v>
      </c>
      <c r="G11" s="5">
        <f>IF(M11 &gt; 0, AVERAGEIF(final_df_sentiment!$AM$2:$AM$100,G$2,(INDEX(final_df_sentiment!$B$2:$ZZ$100,,MATCH($C11,final_df_sentiment!$B$1:$ZZ$1,0)))), "")</f>
        <v>0.64814814814814814</v>
      </c>
      <c r="H11" s="5">
        <f>IF(N11 &gt; 0, AVERAGEIF(final_df_sentiment!$AM$2:$AM$100,H$2,(INDEX(final_df_sentiment!$B$2:$ZZ$100,,MATCH($C11,final_df_sentiment!$B$1:$ZZ$1,0)))), "")</f>
        <v>0.25</v>
      </c>
      <c r="I11" s="5">
        <f>IF(O11 &gt; 0, AVERAGEIF(final_df_sentiment!$AM$2:$AM$100,I$2,(INDEX(final_df_sentiment!$B$2:$ZZ$100,,MATCH($C11,final_df_sentiment!$B$1:$ZZ$1,0)))), "")</f>
        <v>0.5</v>
      </c>
      <c r="J11" s="4">
        <f>COUNTIFS((INDEX(final_df_sentiment!$B$2:$ZZ$100,,MATCH($C11,final_df_sentiment!$B$1:$ZZ$1,0))), "&lt;&gt;")</f>
        <v>17</v>
      </c>
      <c r="K11" s="4">
        <f>COUNTIFS((INDEX(final_df_sentiment!$B$2:$ZZ$100,,MATCH($C11,final_df_sentiment!$B$1:$ZZ$1,0))), "&lt;&gt;", final_df_sentiment!$E$2:$E$100, K$2)</f>
        <v>6</v>
      </c>
      <c r="L11" s="4">
        <f>COUNTIFS((INDEX(final_df_sentiment!$B$2:$ZZ$100,,MATCH($C11,final_df_sentiment!$B$1:$ZZ$1,0))), "&lt;&gt;", final_df_sentiment!$E$2:$E$100, L$2)</f>
        <v>11</v>
      </c>
      <c r="M11" s="4">
        <f>COUNTIFS((INDEX(final_df_sentiment!$B$2:$ZZ$100,,MATCH($C11,final_df_sentiment!$B$1:$ZZ$1,0))), "&lt;&gt;", final_df_sentiment!$AM$2:$AM$100, M$2)</f>
        <v>9</v>
      </c>
      <c r="N11" s="4">
        <f>COUNTIFS((INDEX(final_df_sentiment!$B$2:$ZZ$100,,MATCH($C11,final_df_sentiment!$B$1:$ZZ$1,0))), "&lt;&gt;", final_df_sentiment!$AM$2:$AM$100, N$2)</f>
        <v>6</v>
      </c>
      <c r="O11" s="4">
        <f>COUNTIFS((INDEX(final_df_sentiment!$B$2:$ZZ$100,,MATCH($C11,final_df_sentiment!$B$1:$ZZ$1,0))), "&lt;&gt;", final_df_sentiment!$AM$2:$AM$100, O$2)</f>
        <v>2</v>
      </c>
    </row>
    <row r="12" spans="1:16" x14ac:dyDescent="0.25">
      <c r="A12" s="21"/>
      <c r="B12" s="4" t="s">
        <v>418</v>
      </c>
      <c r="C12" s="1" t="s">
        <v>90</v>
      </c>
      <c r="D12" s="5">
        <f>IF(J12 &gt; 0, AVERAGE((INDEX(final_df_sentiment!$B$2:$ZZ$100,,MATCH($C12,final_df_sentiment!$B$1:$ZZ$1,0)))), "")</f>
        <v>0</v>
      </c>
      <c r="E12" s="5">
        <f>IF(K12 &gt; 0, AVERAGEIF(final_df_sentiment!$E$2:$E$100,E$2,(INDEX(final_df_sentiment!$B$2:$ZZ$100,,MATCH($C12,final_df_sentiment!$B$1:$ZZ$1,0)))), "")</f>
        <v>0</v>
      </c>
      <c r="F12" s="5">
        <f>IF(L12 &gt; 0, AVERAGEIF(final_df_sentiment!$E$2:$E$100,F$2,(INDEX(final_df_sentiment!$B$2:$ZZ$100,,MATCH($C12,final_df_sentiment!$B$1:$ZZ$1,0)))), "")</f>
        <v>0</v>
      </c>
      <c r="G12" s="5">
        <f>IF(M12 &gt; 0, AVERAGEIF(final_df_sentiment!$AM$2:$AM$100,G$2,(INDEX(final_df_sentiment!$B$2:$ZZ$100,,MATCH($C12,final_df_sentiment!$B$1:$ZZ$1,0)))), "")</f>
        <v>0</v>
      </c>
      <c r="H12" s="5">
        <f>IF(N12 &gt; 0, AVERAGEIF(final_df_sentiment!$AM$2:$AM$100,H$2,(INDEX(final_df_sentiment!$B$2:$ZZ$100,,MATCH($C12,final_df_sentiment!$B$1:$ZZ$1,0)))), "")</f>
        <v>0</v>
      </c>
      <c r="I12" s="5" t="str">
        <f>IF(O12 &gt; 0, AVERAGEIF(final_df_sentiment!$AM$2:$AM$100,I$2,(INDEX(final_df_sentiment!$B$2:$ZZ$100,,MATCH($C12,final_df_sentiment!$B$1:$ZZ$1,0)))), "")</f>
        <v/>
      </c>
      <c r="J12" s="4">
        <f>COUNTIFS((INDEX(final_df_sentiment!$B$2:$ZZ$100,,MATCH($C12,final_df_sentiment!$B$1:$ZZ$1,0))), "&lt;&gt;")</f>
        <v>2</v>
      </c>
      <c r="K12" s="4">
        <f>COUNTIFS((INDEX(final_df_sentiment!$B$2:$ZZ$100,,MATCH($C12,final_df_sentiment!$B$1:$ZZ$1,0))), "&lt;&gt;", final_df_sentiment!$E$2:$E$100, K$2)</f>
        <v>1</v>
      </c>
      <c r="L12" s="4">
        <f>COUNTIFS((INDEX(final_df_sentiment!$B$2:$ZZ$100,,MATCH($C12,final_df_sentiment!$B$1:$ZZ$1,0))), "&lt;&gt;", final_df_sentiment!$E$2:$E$100, L$2)</f>
        <v>1</v>
      </c>
      <c r="M12" s="4">
        <f>COUNTIFS((INDEX(final_df_sentiment!$B$2:$ZZ$100,,MATCH($C12,final_df_sentiment!$B$1:$ZZ$1,0))), "&lt;&gt;", final_df_sentiment!$AM$2:$AM$100, M$2)</f>
        <v>1</v>
      </c>
      <c r="N12" s="4">
        <f>COUNTIFS((INDEX(final_df_sentiment!$B$2:$ZZ$100,,MATCH($C12,final_df_sentiment!$B$1:$ZZ$1,0))), "&lt;&gt;", final_df_sentiment!$AM$2:$AM$100, N$2)</f>
        <v>1</v>
      </c>
      <c r="O12" s="4">
        <f>COUNTIFS((INDEX(final_df_sentiment!$B$2:$ZZ$100,,MATCH($C12,final_df_sentiment!$B$1:$ZZ$1,0))), "&lt;&gt;", final_df_sentiment!$AM$2:$AM$100, O$2)</f>
        <v>0</v>
      </c>
    </row>
    <row r="13" spans="1:16" ht="15.75" thickBot="1" x14ac:dyDescent="0.3">
      <c r="A13" s="23"/>
      <c r="B13" s="4" t="s">
        <v>419</v>
      </c>
      <c r="C13" s="1" t="s">
        <v>57</v>
      </c>
      <c r="D13" s="5">
        <f>IF(J13 &gt; 0, AVERAGE((INDEX(final_df_sentiment!$B$2:$ZZ$100,,MATCH($C13,final_df_sentiment!$B$1:$ZZ$1,0)))), "")</f>
        <v>0.375</v>
      </c>
      <c r="E13" s="5">
        <f>IF(K13 &gt; 0, AVERAGEIF(final_df_sentiment!$E$2:$E$100,E$2,(INDEX(final_df_sentiment!$B$2:$ZZ$100,,MATCH($C13,final_df_sentiment!$B$1:$ZZ$1,0)))), "")</f>
        <v>0</v>
      </c>
      <c r="F13" s="5">
        <f>IF(L13 &gt; 0, AVERAGEIF(final_df_sentiment!$E$2:$E$100,F$2,(INDEX(final_df_sentiment!$B$2:$ZZ$100,,MATCH($C13,final_df_sentiment!$B$1:$ZZ$1,0)))), "")</f>
        <v>0.6</v>
      </c>
      <c r="G13" s="5">
        <f>IF(M13 &gt; 0, AVERAGEIF(final_df_sentiment!$AM$2:$AM$100,G$2,(INDEX(final_df_sentiment!$B$2:$ZZ$100,,MATCH($C13,final_df_sentiment!$B$1:$ZZ$1,0)))), "")</f>
        <v>0.66666666666666663</v>
      </c>
      <c r="H13" s="5">
        <f>IF(N13 &gt; 0, AVERAGEIF(final_df_sentiment!$AM$2:$AM$100,H$2,(INDEX(final_df_sentiment!$B$2:$ZZ$100,,MATCH($C13,final_df_sentiment!$B$1:$ZZ$1,0)))), "")</f>
        <v>0</v>
      </c>
      <c r="I13" s="5">
        <f>IF(O13 &gt; 0, AVERAGEIF(final_df_sentiment!$AM$2:$AM$100,I$2,(INDEX(final_df_sentiment!$B$2:$ZZ$100,,MATCH($C13,final_df_sentiment!$B$1:$ZZ$1,0)))), "")</f>
        <v>0.5</v>
      </c>
      <c r="J13" s="4">
        <f>COUNTIFS((INDEX(final_df_sentiment!$B$2:$ZZ$100,,MATCH($C13,final_df_sentiment!$B$1:$ZZ$1,0))), "&lt;&gt;")</f>
        <v>8</v>
      </c>
      <c r="K13" s="4">
        <f>COUNTIFS((INDEX(final_df_sentiment!$B$2:$ZZ$100,,MATCH($C13,final_df_sentiment!$B$1:$ZZ$1,0))), "&lt;&gt;", final_df_sentiment!$E$2:$E$100, K$2)</f>
        <v>3</v>
      </c>
      <c r="L13" s="4">
        <f>COUNTIFS((INDEX(final_df_sentiment!$B$2:$ZZ$100,,MATCH($C13,final_df_sentiment!$B$1:$ZZ$1,0))), "&lt;&gt;", final_df_sentiment!$E$2:$E$100, L$2)</f>
        <v>5</v>
      </c>
      <c r="M13" s="4">
        <f>COUNTIFS((INDEX(final_df_sentiment!$B$2:$ZZ$100,,MATCH($C13,final_df_sentiment!$B$1:$ZZ$1,0))), "&lt;&gt;", final_df_sentiment!$AM$2:$AM$100, M$2)</f>
        <v>3</v>
      </c>
      <c r="N13" s="4">
        <f>COUNTIFS((INDEX(final_df_sentiment!$B$2:$ZZ$100,,MATCH($C13,final_df_sentiment!$B$1:$ZZ$1,0))), "&lt;&gt;", final_df_sentiment!$AM$2:$AM$100, N$2)</f>
        <v>3</v>
      </c>
      <c r="O13" s="4">
        <f>COUNTIFS((INDEX(final_df_sentiment!$B$2:$ZZ$100,,MATCH($C13,final_df_sentiment!$B$1:$ZZ$1,0))), "&lt;&gt;", final_df_sentiment!$AM$2:$AM$100, O$2)</f>
        <v>2</v>
      </c>
    </row>
    <row r="14" spans="1:16" x14ac:dyDescent="0.25">
      <c r="A14" s="24" t="s">
        <v>405</v>
      </c>
      <c r="B14" s="7" t="s">
        <v>409</v>
      </c>
      <c r="C14" s="8" t="s">
        <v>67</v>
      </c>
      <c r="D14" s="9">
        <f>IF(J14 &gt; 0, AVERAGE((INDEX(final_df_sentiment!$B$2:$ZZ$100,,MATCH($C14,final_df_sentiment!$B$1:$ZZ$1,0)))), "")</f>
        <v>0.25925925925925924</v>
      </c>
      <c r="E14" s="9">
        <f>IF(K14 &gt; 0, AVERAGEIF(final_df_sentiment!$E$2:$E$100,E$2,(INDEX(final_df_sentiment!$B$2:$ZZ$100,,MATCH($C14,final_df_sentiment!$B$1:$ZZ$1,0)))), "")</f>
        <v>0.1111111111111111</v>
      </c>
      <c r="F14" s="9">
        <f>IF(L14 &gt; 0, AVERAGEIF(final_df_sentiment!$E$2:$E$100,F$2,(INDEX(final_df_sentiment!$B$2:$ZZ$100,,MATCH($C14,final_df_sentiment!$B$1:$ZZ$1,0)))), "")</f>
        <v>0.40740740740740738</v>
      </c>
      <c r="G14" s="9">
        <f>IF(M14 &gt; 0, AVERAGEIF(final_df_sentiment!$AM$2:$AM$100,G$2,(INDEX(final_df_sentiment!$B$2:$ZZ$100,,MATCH($C14,final_df_sentiment!$B$1:$ZZ$1,0)))), "")</f>
        <v>0.16666666666666666</v>
      </c>
      <c r="H14" s="9">
        <f>IF(N14 &gt; 0, AVERAGEIF(final_df_sentiment!$AM$2:$AM$100,H$2,(INDEX(final_df_sentiment!$B$2:$ZZ$100,,MATCH($C14,final_df_sentiment!$B$1:$ZZ$1,0)))), "")</f>
        <v>0.22222222222222221</v>
      </c>
      <c r="I14" s="10">
        <f>IF(O14 &gt; 0, AVERAGEIF(final_df_sentiment!$AM$2:$AM$100,I$2,(INDEX(final_df_sentiment!$B$2:$ZZ$100,,MATCH($C14,final_df_sentiment!$B$1:$ZZ$1,0)))), "")</f>
        <v>0.4</v>
      </c>
      <c r="J14" s="4">
        <f>COUNTIFS((INDEX(final_df_sentiment!$B$2:$ZZ$100,,MATCH($C14,final_df_sentiment!$B$1:$ZZ$1,0))), "&lt;&gt;")</f>
        <v>18</v>
      </c>
      <c r="K14" s="4">
        <f>COUNTIFS((INDEX(final_df_sentiment!$B$2:$ZZ$100,,MATCH($C14,final_df_sentiment!$B$1:$ZZ$1,0))), "&lt;&gt;", final_df_sentiment!$E$2:$E$100, K$2)</f>
        <v>9</v>
      </c>
      <c r="L14" s="4">
        <f>COUNTIFS((INDEX(final_df_sentiment!$B$2:$ZZ$100,,MATCH($C14,final_df_sentiment!$B$1:$ZZ$1,0))), "&lt;&gt;", final_df_sentiment!$E$2:$E$100, L$2)</f>
        <v>9</v>
      </c>
      <c r="M14" s="4">
        <f>COUNTIFS((INDEX(final_df_sentiment!$B$2:$ZZ$100,,MATCH($C14,final_df_sentiment!$B$1:$ZZ$1,0))), "&lt;&gt;", final_df_sentiment!$AM$2:$AM$100, M$2)</f>
        <v>4</v>
      </c>
      <c r="N14" s="4">
        <f>COUNTIFS((INDEX(final_df_sentiment!$B$2:$ZZ$100,,MATCH($C14,final_df_sentiment!$B$1:$ZZ$1,0))), "&lt;&gt;", final_df_sentiment!$AM$2:$AM$100, N$2)</f>
        <v>9</v>
      </c>
      <c r="O14" s="4">
        <f>COUNTIFS((INDEX(final_df_sentiment!$B$2:$ZZ$100,,MATCH($C14,final_df_sentiment!$B$1:$ZZ$1,0))), "&lt;&gt;", final_df_sentiment!$AM$2:$AM$100, O$2)</f>
        <v>5</v>
      </c>
    </row>
    <row r="15" spans="1:16" x14ac:dyDescent="0.25">
      <c r="A15" s="25"/>
      <c r="B15" s="11" t="s">
        <v>404</v>
      </c>
      <c r="C15" s="12" t="s">
        <v>44</v>
      </c>
      <c r="D15" s="13">
        <f>IF(J15 &gt; 0, AVERAGE((INDEX(final_df_sentiment!$B$2:$ZZ$100,,MATCH($C15,final_df_sentiment!$B$1:$ZZ$1,0)))), "")</f>
        <v>0.40666666666666662</v>
      </c>
      <c r="E15" s="13">
        <f>IF(K15 &gt; 0, AVERAGEIF(final_df_sentiment!$E$2:$E$100,E$2,(INDEX(final_df_sentiment!$B$2:$ZZ$100,,MATCH($C15,final_df_sentiment!$B$1:$ZZ$1,0)))), "")</f>
        <v>0.32051282051282048</v>
      </c>
      <c r="F15" s="13">
        <f>IF(L15 &gt; 0, AVERAGEIF(final_df_sentiment!$E$2:$E$100,F$2,(INDEX(final_df_sentiment!$B$2:$ZZ$100,,MATCH($C15,final_df_sentiment!$B$1:$ZZ$1,0)))), "")</f>
        <v>0.5</v>
      </c>
      <c r="G15" s="13">
        <f>IF(M15 &gt; 0, AVERAGEIF(final_df_sentiment!$AM$2:$AM$100,G$2,(INDEX(final_df_sentiment!$B$2:$ZZ$100,,MATCH($C15,final_df_sentiment!$B$1:$ZZ$1,0)))), "")</f>
        <v>0.4</v>
      </c>
      <c r="H15" s="13">
        <f>IF(N15 &gt; 0, AVERAGEIF(final_df_sentiment!$AM$2:$AM$100,H$2,(INDEX(final_df_sentiment!$B$2:$ZZ$100,,MATCH($C15,final_df_sentiment!$B$1:$ZZ$1,0)))), "")</f>
        <v>0.38095238095238093</v>
      </c>
      <c r="I15" s="14">
        <f>IF(O15 &gt; 0, AVERAGEIF(final_df_sentiment!$AM$2:$AM$100,I$2,(INDEX(final_df_sentiment!$B$2:$ZZ$100,,MATCH($C15,final_df_sentiment!$B$1:$ZZ$1,0)))), "")</f>
        <v>0.4375</v>
      </c>
      <c r="J15" s="4">
        <f>COUNTIFS((INDEX(final_df_sentiment!$B$2:$ZZ$100,,MATCH($C15,final_df_sentiment!$B$1:$ZZ$1,0))), "&lt;&gt;")</f>
        <v>25</v>
      </c>
      <c r="K15" s="4">
        <f>COUNTIFS((INDEX(final_df_sentiment!$B$2:$ZZ$100,,MATCH($C15,final_df_sentiment!$B$1:$ZZ$1,0))), "&lt;&gt;", final_df_sentiment!$E$2:$E$100, K$2)</f>
        <v>13</v>
      </c>
      <c r="L15" s="4">
        <f>COUNTIFS((INDEX(final_df_sentiment!$B$2:$ZZ$100,,MATCH($C15,final_df_sentiment!$B$1:$ZZ$1,0))), "&lt;&gt;", final_df_sentiment!$E$2:$E$100, L$2)</f>
        <v>12</v>
      </c>
      <c r="M15" s="4">
        <f>COUNTIFS((INDEX(final_df_sentiment!$B$2:$ZZ$100,,MATCH($C15,final_df_sentiment!$B$1:$ZZ$1,0))), "&lt;&gt;", final_df_sentiment!$AM$2:$AM$100, M$2)</f>
        <v>10</v>
      </c>
      <c r="N15" s="4">
        <f>COUNTIFS((INDEX(final_df_sentiment!$B$2:$ZZ$100,,MATCH($C15,final_df_sentiment!$B$1:$ZZ$1,0))), "&lt;&gt;", final_df_sentiment!$AM$2:$AM$100, N$2)</f>
        <v>7</v>
      </c>
      <c r="O15" s="4">
        <f>COUNTIFS((INDEX(final_df_sentiment!$B$2:$ZZ$100,,MATCH($C15,final_df_sentiment!$B$1:$ZZ$1,0))), "&lt;&gt;", final_df_sentiment!$AM$2:$AM$100, O$2)</f>
        <v>8</v>
      </c>
    </row>
    <row r="16" spans="1:16" x14ac:dyDescent="0.25">
      <c r="A16" s="25"/>
      <c r="B16" s="11" t="s">
        <v>425</v>
      </c>
      <c r="C16" s="12" t="s">
        <v>45</v>
      </c>
      <c r="D16" s="13">
        <f>IF(J16 &gt; 0, AVERAGE((INDEX(final_df_sentiment!$B$2:$ZZ$100,,MATCH($C16,final_df_sentiment!$B$1:$ZZ$1,0)))), "")</f>
        <v>0.375</v>
      </c>
      <c r="E16" s="13">
        <f>IF(K16 &gt; 0, AVERAGEIF(final_df_sentiment!$E$2:$E$100,E$2,(INDEX(final_df_sentiment!$B$2:$ZZ$100,,MATCH($C16,final_df_sentiment!$B$1:$ZZ$1,0)))), "")</f>
        <v>0.33333333333333331</v>
      </c>
      <c r="F16" s="13">
        <f>IF(L16 &gt; 0, AVERAGEIF(final_df_sentiment!$E$2:$E$100,F$2,(INDEX(final_df_sentiment!$B$2:$ZZ$100,,MATCH($C16,final_df_sentiment!$B$1:$ZZ$1,0)))), "")</f>
        <v>0.42857142857142855</v>
      </c>
      <c r="G16" s="13">
        <f>IF(M16 &gt; 0, AVERAGEIF(final_df_sentiment!$AM$2:$AM$100,G$2,(INDEX(final_df_sentiment!$B$2:$ZZ$100,,MATCH($C16,final_df_sentiment!$B$1:$ZZ$1,0)))), "")</f>
        <v>0.2</v>
      </c>
      <c r="H16" s="13">
        <f>IF(N16 &gt; 0, AVERAGEIF(final_df_sentiment!$AM$2:$AM$100,H$2,(INDEX(final_df_sentiment!$B$2:$ZZ$100,,MATCH($C16,final_df_sentiment!$B$1:$ZZ$1,0)))), "")</f>
        <v>0.375</v>
      </c>
      <c r="I16" s="14">
        <f>IF(O16 &gt; 0, AVERAGEIF(final_df_sentiment!$AM$2:$AM$100,I$2,(INDEX(final_df_sentiment!$B$2:$ZZ$100,,MATCH($C16,final_df_sentiment!$B$1:$ZZ$1,0)))), "")</f>
        <v>0.66666666666666663</v>
      </c>
      <c r="J16" s="4">
        <f>COUNTIFS((INDEX(final_df_sentiment!$B$2:$ZZ$100,,MATCH($C16,final_df_sentiment!$B$1:$ZZ$1,0))), "&lt;&gt;")</f>
        <v>16</v>
      </c>
      <c r="K16" s="4">
        <f>COUNTIFS((INDEX(final_df_sentiment!$B$2:$ZZ$100,,MATCH($C16,final_df_sentiment!$B$1:$ZZ$1,0))), "&lt;&gt;", final_df_sentiment!$E$2:$E$100, K$2)</f>
        <v>9</v>
      </c>
      <c r="L16" s="4">
        <f>COUNTIFS((INDEX(final_df_sentiment!$B$2:$ZZ$100,,MATCH($C16,final_df_sentiment!$B$1:$ZZ$1,0))), "&lt;&gt;", final_df_sentiment!$E$2:$E$100, L$2)</f>
        <v>7</v>
      </c>
      <c r="M16" s="4">
        <f>COUNTIFS((INDEX(final_df_sentiment!$B$2:$ZZ$100,,MATCH($C16,final_df_sentiment!$B$1:$ZZ$1,0))), "&lt;&gt;", final_df_sentiment!$AM$2:$AM$100, M$2)</f>
        <v>5</v>
      </c>
      <c r="N16" s="4">
        <f>COUNTIFS((INDEX(final_df_sentiment!$B$2:$ZZ$100,,MATCH($C16,final_df_sentiment!$B$1:$ZZ$1,0))), "&lt;&gt;", final_df_sentiment!$AM$2:$AM$100, N$2)</f>
        <v>8</v>
      </c>
      <c r="O16" s="4">
        <f>COUNTIFS((INDEX(final_df_sentiment!$B$2:$ZZ$100,,MATCH($C16,final_df_sentiment!$B$1:$ZZ$1,0))), "&lt;&gt;", final_df_sentiment!$AM$2:$AM$100, O$2)</f>
        <v>3</v>
      </c>
    </row>
    <row r="17" spans="1:15" x14ac:dyDescent="0.25">
      <c r="A17" s="25"/>
      <c r="B17" s="11" t="s">
        <v>434</v>
      </c>
      <c r="C17" s="12" t="s">
        <v>46</v>
      </c>
      <c r="D17" s="13">
        <f>IF(J17 &gt; 0, AVERAGE((INDEX(final_df_sentiment!$B$2:$ZZ$100,,MATCH($C17,final_df_sentiment!$B$1:$ZZ$1,0)))), "")</f>
        <v>0.33333333333333331</v>
      </c>
      <c r="E17" s="13">
        <f>IF(K17 &gt; 0, AVERAGEIF(final_df_sentiment!$E$2:$E$100,E$2,(INDEX(final_df_sentiment!$B$2:$ZZ$100,,MATCH($C17,final_df_sentiment!$B$1:$ZZ$1,0)))), "")</f>
        <v>0.2</v>
      </c>
      <c r="F17" s="13">
        <f>IF(L17 &gt; 0, AVERAGEIF(final_df_sentiment!$E$2:$E$100,F$2,(INDEX(final_df_sentiment!$B$2:$ZZ$100,,MATCH($C17,final_df_sentiment!$B$1:$ZZ$1,0)))), "")</f>
        <v>0.5</v>
      </c>
      <c r="G17" s="13">
        <f>IF(M17 &gt; 0, AVERAGEIF(final_df_sentiment!$AM$2:$AM$100,G$2,(INDEX(final_df_sentiment!$B$2:$ZZ$100,,MATCH($C17,final_df_sentiment!$B$1:$ZZ$1,0)))), "")</f>
        <v>0.33333333333333331</v>
      </c>
      <c r="H17" s="13">
        <f>IF(N17 &gt; 0, AVERAGEIF(final_df_sentiment!$AM$2:$AM$100,H$2,(INDEX(final_df_sentiment!$B$2:$ZZ$100,,MATCH($C17,final_df_sentiment!$B$1:$ZZ$1,0)))), "")</f>
        <v>0</v>
      </c>
      <c r="I17" s="14">
        <f>IF(O17 &gt; 0, AVERAGEIF(final_df_sentiment!$AM$2:$AM$100,I$2,(INDEX(final_df_sentiment!$B$2:$ZZ$100,,MATCH($C17,final_df_sentiment!$B$1:$ZZ$1,0)))), "")</f>
        <v>0.66666666666666663</v>
      </c>
      <c r="J17" s="4">
        <f>COUNTIFS((INDEX(final_df_sentiment!$B$2:$ZZ$100,,MATCH($C17,final_df_sentiment!$B$1:$ZZ$1,0))), "&lt;&gt;")</f>
        <v>9</v>
      </c>
      <c r="K17" s="4">
        <f>COUNTIFS((INDEX(final_df_sentiment!$B$2:$ZZ$100,,MATCH($C17,final_df_sentiment!$B$1:$ZZ$1,0))), "&lt;&gt;", final_df_sentiment!$E$2:$E$100, K$2)</f>
        <v>5</v>
      </c>
      <c r="L17" s="4">
        <f>COUNTIFS((INDEX(final_df_sentiment!$B$2:$ZZ$100,,MATCH($C17,final_df_sentiment!$B$1:$ZZ$1,0))), "&lt;&gt;", final_df_sentiment!$E$2:$E$100, L$2)</f>
        <v>4</v>
      </c>
      <c r="M17" s="4">
        <f>COUNTIFS((INDEX(final_df_sentiment!$B$2:$ZZ$100,,MATCH($C17,final_df_sentiment!$B$1:$ZZ$1,0))), "&lt;&gt;", final_df_sentiment!$AM$2:$AM$100, M$2)</f>
        <v>3</v>
      </c>
      <c r="N17" s="4">
        <f>COUNTIFS((INDEX(final_df_sentiment!$B$2:$ZZ$100,,MATCH($C17,final_df_sentiment!$B$1:$ZZ$1,0))), "&lt;&gt;", final_df_sentiment!$AM$2:$AM$100, N$2)</f>
        <v>3</v>
      </c>
      <c r="O17" s="4">
        <f>COUNTIFS((INDEX(final_df_sentiment!$B$2:$ZZ$100,,MATCH($C17,final_df_sentiment!$B$1:$ZZ$1,0))), "&lt;&gt;", final_df_sentiment!$AM$2:$AM$100, O$2)</f>
        <v>3</v>
      </c>
    </row>
    <row r="18" spans="1:15" x14ac:dyDescent="0.25">
      <c r="A18" s="25"/>
      <c r="B18" s="11" t="s">
        <v>410</v>
      </c>
      <c r="C18" s="12" t="s">
        <v>47</v>
      </c>
      <c r="D18" s="13">
        <f>IF(J18 &gt; 0, AVERAGE((INDEX(final_df_sentiment!$B$2:$ZZ$100,,MATCH($C18,final_df_sentiment!$B$1:$ZZ$1,0)))), "")</f>
        <v>0.64102564102564097</v>
      </c>
      <c r="E18" s="13">
        <f>IF(K18 &gt; 0, AVERAGEIF(final_df_sentiment!$E$2:$E$100,E$2,(INDEX(final_df_sentiment!$B$2:$ZZ$100,,MATCH($C18,final_df_sentiment!$B$1:$ZZ$1,0)))), "")</f>
        <v>0.4242424242424242</v>
      </c>
      <c r="F18" s="13">
        <f>IF(L18 &gt; 0, AVERAGEIF(final_df_sentiment!$E$2:$E$100,F$2,(INDEX(final_df_sentiment!$B$2:$ZZ$100,,MATCH($C18,final_df_sentiment!$B$1:$ZZ$1,0)))), "")</f>
        <v>0.8</v>
      </c>
      <c r="G18" s="13">
        <f>IF(M18 &gt; 0, AVERAGEIF(final_df_sentiment!$AM$2:$AM$100,G$2,(INDEX(final_df_sentiment!$B$2:$ZZ$100,,MATCH($C18,final_df_sentiment!$B$1:$ZZ$1,0)))), "")</f>
        <v>0.69444444444444431</v>
      </c>
      <c r="H18" s="13">
        <f>IF(N18 &gt; 0, AVERAGEIF(final_df_sentiment!$AM$2:$AM$100,H$2,(INDEX(final_df_sentiment!$B$2:$ZZ$100,,MATCH($C18,final_df_sentiment!$B$1:$ZZ$1,0)))), "")</f>
        <v>0.45454545454545453</v>
      </c>
      <c r="I18" s="14">
        <f>IF(O18 &gt; 0, AVERAGEIF(final_df_sentiment!$AM$2:$AM$100,I$2,(INDEX(final_df_sentiment!$B$2:$ZZ$100,,MATCH($C18,final_df_sentiment!$B$1:$ZZ$1,0)))), "")</f>
        <v>0.83333333333333337</v>
      </c>
      <c r="J18" s="4">
        <f>COUNTIFS((INDEX(final_df_sentiment!$B$2:$ZZ$100,,MATCH($C18,final_df_sentiment!$B$1:$ZZ$1,0))), "&lt;&gt;")</f>
        <v>26</v>
      </c>
      <c r="K18" s="4">
        <f>COUNTIFS((INDEX(final_df_sentiment!$B$2:$ZZ$100,,MATCH($C18,final_df_sentiment!$B$1:$ZZ$1,0))), "&lt;&gt;", final_df_sentiment!$E$2:$E$100, K$2)</f>
        <v>11</v>
      </c>
      <c r="L18" s="4">
        <f>COUNTIFS((INDEX(final_df_sentiment!$B$2:$ZZ$100,,MATCH($C18,final_df_sentiment!$B$1:$ZZ$1,0))), "&lt;&gt;", final_df_sentiment!$E$2:$E$100, L$2)</f>
        <v>15</v>
      </c>
      <c r="M18" s="4">
        <f>COUNTIFS((INDEX(final_df_sentiment!$B$2:$ZZ$100,,MATCH($C18,final_df_sentiment!$B$1:$ZZ$1,0))), "&lt;&gt;", final_df_sentiment!$AM$2:$AM$100, M$2)</f>
        <v>6</v>
      </c>
      <c r="N18" s="4">
        <f>COUNTIFS((INDEX(final_df_sentiment!$B$2:$ZZ$100,,MATCH($C18,final_df_sentiment!$B$1:$ZZ$1,0))), "&lt;&gt;", final_df_sentiment!$AM$2:$AM$100, N$2)</f>
        <v>11</v>
      </c>
      <c r="O18" s="4">
        <f>COUNTIFS((INDEX(final_df_sentiment!$B$2:$ZZ$100,,MATCH($C18,final_df_sentiment!$B$1:$ZZ$1,0))), "&lt;&gt;", final_df_sentiment!$AM$2:$AM$100, O$2)</f>
        <v>9</v>
      </c>
    </row>
    <row r="19" spans="1:15" ht="15.75" thickBot="1" x14ac:dyDescent="0.3">
      <c r="A19" s="26"/>
      <c r="B19" s="15" t="s">
        <v>411</v>
      </c>
      <c r="C19" s="16" t="s">
        <v>68</v>
      </c>
      <c r="D19" s="17">
        <f>IF(J19 &gt; 0, AVERAGE((INDEX(final_df_sentiment!$B$2:$ZZ$100,,MATCH($C19,final_df_sentiment!$B$1:$ZZ$1,0)))), "")</f>
        <v>0.1111111111111111</v>
      </c>
      <c r="E19" s="17">
        <f>IF(K19 &gt; 0, AVERAGEIF(final_df_sentiment!$E$2:$E$100,E$2,(INDEX(final_df_sentiment!$B$2:$ZZ$100,,MATCH($C19,final_df_sentiment!$B$1:$ZZ$1,0)))), "")</f>
        <v>0</v>
      </c>
      <c r="F19" s="17">
        <f>IF(L19 &gt; 0, AVERAGEIF(final_df_sentiment!$E$2:$E$100,F$2,(INDEX(final_df_sentiment!$B$2:$ZZ$100,,MATCH($C19,final_df_sentiment!$B$1:$ZZ$1,0)))), "")</f>
        <v>0.25</v>
      </c>
      <c r="G19" s="17">
        <f>IF(M19 &gt; 0, AVERAGEIF(final_df_sentiment!$AM$2:$AM$100,G$2,(INDEX(final_df_sentiment!$B$2:$ZZ$100,,MATCH($C19,final_df_sentiment!$B$1:$ZZ$1,0)))), "")</f>
        <v>0</v>
      </c>
      <c r="H19" s="17">
        <f>IF(N19 &gt; 0, AVERAGEIF(final_df_sentiment!$AM$2:$AM$100,H$2,(INDEX(final_df_sentiment!$B$2:$ZZ$100,,MATCH($C19,final_df_sentiment!$B$1:$ZZ$1,0)))), "")</f>
        <v>0.25</v>
      </c>
      <c r="I19" s="18">
        <f>IF(O19 &gt; 0, AVERAGEIF(final_df_sentiment!$AM$2:$AM$100,I$2,(INDEX(final_df_sentiment!$B$2:$ZZ$100,,MATCH($C19,final_df_sentiment!$B$1:$ZZ$1,0)))), "")</f>
        <v>0</v>
      </c>
      <c r="J19" s="4">
        <f>COUNTIFS((INDEX(final_df_sentiment!$B$2:$ZZ$100,,MATCH($C19,final_df_sentiment!$B$1:$ZZ$1,0))), "&lt;&gt;")</f>
        <v>9</v>
      </c>
      <c r="K19" s="4">
        <f>COUNTIFS((INDEX(final_df_sentiment!$B$2:$ZZ$100,,MATCH($C19,final_df_sentiment!$B$1:$ZZ$1,0))), "&lt;&gt;", final_df_sentiment!$E$2:$E$100, K$2)</f>
        <v>5</v>
      </c>
      <c r="L19" s="4">
        <f>COUNTIFS((INDEX(final_df_sentiment!$B$2:$ZZ$100,,MATCH($C19,final_df_sentiment!$B$1:$ZZ$1,0))), "&lt;&gt;", final_df_sentiment!$E$2:$E$100, L$2)</f>
        <v>4</v>
      </c>
      <c r="M19" s="4">
        <f>COUNTIFS((INDEX(final_df_sentiment!$B$2:$ZZ$100,,MATCH($C19,final_df_sentiment!$B$1:$ZZ$1,0))), "&lt;&gt;", final_df_sentiment!$AM$2:$AM$100, M$2)</f>
        <v>4</v>
      </c>
      <c r="N19" s="4">
        <f>COUNTIFS((INDEX(final_df_sentiment!$B$2:$ZZ$100,,MATCH($C19,final_df_sentiment!$B$1:$ZZ$1,0))), "&lt;&gt;", final_df_sentiment!$AM$2:$AM$100, N$2)</f>
        <v>4</v>
      </c>
      <c r="O19" s="4">
        <f>COUNTIFS((INDEX(final_df_sentiment!$B$2:$ZZ$100,,MATCH($C19,final_df_sentiment!$B$1:$ZZ$1,0))), "&lt;&gt;", final_df_sentiment!$AM$2:$AM$100, O$2)</f>
        <v>1</v>
      </c>
    </row>
    <row r="20" spans="1:15" x14ac:dyDescent="0.25">
      <c r="A20" s="24" t="s">
        <v>439</v>
      </c>
      <c r="B20" s="7" t="s">
        <v>442</v>
      </c>
      <c r="C20" s="8" t="s">
        <v>48</v>
      </c>
      <c r="D20" s="9">
        <f>IF(J20 &gt; 0, AVERAGE((INDEX(final_df_sentiment!$B$2:$ZZ$100,,MATCH($C20,final_df_sentiment!$B$1:$ZZ$1,0)))), "")</f>
        <v>0.7857142857142857</v>
      </c>
      <c r="E20" s="9">
        <f>IF(K20 &gt; 0, AVERAGEIF(final_df_sentiment!$E$2:$E$100,E$2,(INDEX(final_df_sentiment!$B$2:$ZZ$100,,MATCH($C20,final_df_sentiment!$B$1:$ZZ$1,0)))), "")</f>
        <v>0.68181818181818177</v>
      </c>
      <c r="F20" s="9">
        <f>IF(L20 &gt; 0, AVERAGEIF(final_df_sentiment!$E$2:$E$100,F$2,(INDEX(final_df_sentiment!$B$2:$ZZ$100,,MATCH($C20,final_df_sentiment!$B$1:$ZZ$1,0)))), "")</f>
        <v>0.9</v>
      </c>
      <c r="G20" s="9">
        <f>IF(M20 &gt; 0, AVERAGEIF(final_df_sentiment!$AM$2:$AM$100,G$2,(INDEX(final_df_sentiment!$B$2:$ZZ$100,,MATCH($C20,final_df_sentiment!$B$1:$ZZ$1,0)))), "")</f>
        <v>0.7142857142857143</v>
      </c>
      <c r="H20" s="9">
        <f>IF(N20 &gt; 0, AVERAGEIF(final_df_sentiment!$AM$2:$AM$100,H$2,(INDEX(final_df_sentiment!$B$2:$ZZ$100,,MATCH($C20,final_df_sentiment!$B$1:$ZZ$1,0)))), "")</f>
        <v>0.75</v>
      </c>
      <c r="I20" s="10">
        <f>IF(O20 &gt; 0, AVERAGEIF(final_df_sentiment!$AM$2:$AM$100,I$2,(INDEX(final_df_sentiment!$B$2:$ZZ$100,,MATCH($C20,final_df_sentiment!$B$1:$ZZ$1,0)))), "")</f>
        <v>0.91666666666666663</v>
      </c>
      <c r="J20" s="4">
        <f>COUNTIFS((INDEX(final_df_sentiment!$B$2:$ZZ$100,,MATCH($C20,final_df_sentiment!$B$1:$ZZ$1,0))), "&lt;&gt;")</f>
        <v>21</v>
      </c>
      <c r="K20" s="4">
        <f>COUNTIFS((INDEX(final_df_sentiment!$B$2:$ZZ$100,,MATCH($C20,final_df_sentiment!$B$1:$ZZ$1,0))), "&lt;&gt;", final_df_sentiment!$E$2:$E$100, K$2)</f>
        <v>11</v>
      </c>
      <c r="L20" s="4">
        <f>COUNTIFS((INDEX(final_df_sentiment!$B$2:$ZZ$100,,MATCH($C20,final_df_sentiment!$B$1:$ZZ$1,0))), "&lt;&gt;", final_df_sentiment!$E$2:$E$100, L$2)</f>
        <v>10</v>
      </c>
      <c r="M20" s="4">
        <f>COUNTIFS((INDEX(final_df_sentiment!$B$2:$ZZ$100,,MATCH($C20,final_df_sentiment!$B$1:$ZZ$1,0))), "&lt;&gt;", final_df_sentiment!$AM$2:$AM$100, M$2)</f>
        <v>7</v>
      </c>
      <c r="N20" s="4">
        <f>COUNTIFS((INDEX(final_df_sentiment!$B$2:$ZZ$100,,MATCH($C20,final_df_sentiment!$B$1:$ZZ$1,0))), "&lt;&gt;", final_df_sentiment!$AM$2:$AM$100, N$2)</f>
        <v>8</v>
      </c>
      <c r="O20" s="4">
        <f>COUNTIFS((INDEX(final_df_sentiment!$B$2:$ZZ$100,,MATCH($C20,final_df_sentiment!$B$1:$ZZ$1,0))), "&lt;&gt;", final_df_sentiment!$AM$2:$AM$100, O$2)</f>
        <v>6</v>
      </c>
    </row>
    <row r="21" spans="1:15" x14ac:dyDescent="0.25">
      <c r="A21" s="25"/>
      <c r="B21" s="11" t="s">
        <v>441</v>
      </c>
      <c r="C21" s="12" t="s">
        <v>69</v>
      </c>
      <c r="D21" s="13">
        <f>IF(J21 &gt; 0, AVERAGE((INDEX(final_df_sentiment!$B$2:$ZZ$100,,MATCH($C21,final_df_sentiment!$B$1:$ZZ$1,0)))), "")</f>
        <v>0.375</v>
      </c>
      <c r="E21" s="13">
        <f>IF(K21 &gt; 0, AVERAGEIF(final_df_sentiment!$E$2:$E$100,E$2,(INDEX(final_df_sentiment!$B$2:$ZZ$100,,MATCH($C21,final_df_sentiment!$B$1:$ZZ$1,0)))), "")</f>
        <v>0.59375</v>
      </c>
      <c r="F21" s="13">
        <f>IF(L21 &gt; 0, AVERAGEIF(final_df_sentiment!$E$2:$E$100,F$2,(INDEX(final_df_sentiment!$B$2:$ZZ$100,,MATCH($C21,final_df_sentiment!$B$1:$ZZ$1,0)))), "")</f>
        <v>0.2</v>
      </c>
      <c r="G21" s="13">
        <f>IF(M21 &gt; 0, AVERAGEIF(final_df_sentiment!$AM$2:$AM$100,G$2,(INDEX(final_df_sentiment!$B$2:$ZZ$100,,MATCH($C21,final_df_sentiment!$B$1:$ZZ$1,0)))), "")</f>
        <v>7.1428571428571425E-2</v>
      </c>
      <c r="H21" s="13">
        <f>IF(N21 &gt; 0, AVERAGEIF(final_df_sentiment!$AM$2:$AM$100,H$2,(INDEX(final_df_sentiment!$B$2:$ZZ$100,,MATCH($C21,final_df_sentiment!$B$1:$ZZ$1,0)))), "")</f>
        <v>0.5</v>
      </c>
      <c r="I21" s="14">
        <f>IF(O21 &gt; 0, AVERAGEIF(final_df_sentiment!$AM$2:$AM$100,I$2,(INDEX(final_df_sentiment!$B$2:$ZZ$100,,MATCH($C21,final_df_sentiment!$B$1:$ZZ$1,0)))), "")</f>
        <v>0.65</v>
      </c>
      <c r="J21" s="4">
        <f>COUNTIFS((INDEX(final_df_sentiment!$B$2:$ZZ$100,,MATCH($C21,final_df_sentiment!$B$1:$ZZ$1,0))), "&lt;&gt;")</f>
        <v>18</v>
      </c>
      <c r="K21" s="4">
        <f>COUNTIFS((INDEX(final_df_sentiment!$B$2:$ZZ$100,,MATCH($C21,final_df_sentiment!$B$1:$ZZ$1,0))), "&lt;&gt;", final_df_sentiment!$E$2:$E$100, K$2)</f>
        <v>8</v>
      </c>
      <c r="L21" s="4">
        <f>COUNTIFS((INDEX(final_df_sentiment!$B$2:$ZZ$100,,MATCH($C21,final_df_sentiment!$B$1:$ZZ$1,0))), "&lt;&gt;", final_df_sentiment!$E$2:$E$100, L$2)</f>
        <v>10</v>
      </c>
      <c r="M21" s="4">
        <f>COUNTIFS((INDEX(final_df_sentiment!$B$2:$ZZ$100,,MATCH($C21,final_df_sentiment!$B$1:$ZZ$1,0))), "&lt;&gt;", final_df_sentiment!$AM$2:$AM$100, M$2)</f>
        <v>7</v>
      </c>
      <c r="N21" s="4">
        <f>COUNTIFS((INDEX(final_df_sentiment!$B$2:$ZZ$100,,MATCH($C21,final_df_sentiment!$B$1:$ZZ$1,0))), "&lt;&gt;", final_df_sentiment!$AM$2:$AM$100, N$2)</f>
        <v>6</v>
      </c>
      <c r="O21" s="4">
        <f>COUNTIFS((INDEX(final_df_sentiment!$B$2:$ZZ$100,,MATCH($C21,final_df_sentiment!$B$1:$ZZ$1,0))), "&lt;&gt;", final_df_sentiment!$AM$2:$AM$100, O$2)</f>
        <v>5</v>
      </c>
    </row>
    <row r="22" spans="1:15" x14ac:dyDescent="0.25">
      <c r="A22" s="25"/>
      <c r="B22" s="11" t="s">
        <v>440</v>
      </c>
      <c r="C22" s="12" t="s">
        <v>49</v>
      </c>
      <c r="D22" s="13">
        <f>IF(J22 &gt; 0, AVERAGE((INDEX(final_df_sentiment!$B$2:$ZZ$100,,MATCH($C22,final_df_sentiment!$B$1:$ZZ$1,0)))), "")</f>
        <v>0.44047619047619041</v>
      </c>
      <c r="E22" s="13">
        <f>IF(K22 &gt; 0, AVERAGEIF(final_df_sentiment!$E$2:$E$100,E$2,(INDEX(final_df_sentiment!$B$2:$ZZ$100,,MATCH($C22,final_df_sentiment!$B$1:$ZZ$1,0)))), "")</f>
        <v>0.46666666666666662</v>
      </c>
      <c r="F22" s="13">
        <f>IF(L22 &gt; 0, AVERAGEIF(final_df_sentiment!$E$2:$E$100,F$2,(INDEX(final_df_sentiment!$B$2:$ZZ$100,,MATCH($C22,final_df_sentiment!$B$1:$ZZ$1,0)))), "")</f>
        <v>0.42592592592592587</v>
      </c>
      <c r="G22" s="13">
        <f>IF(M22 &gt; 0, AVERAGEIF(final_df_sentiment!$AM$2:$AM$100,G$2,(INDEX(final_df_sentiment!$B$2:$ZZ$100,,MATCH($C22,final_df_sentiment!$B$1:$ZZ$1,0)))), "")</f>
        <v>0.5</v>
      </c>
      <c r="H22" s="13">
        <f>IF(N22 &gt; 0, AVERAGEIF(final_df_sentiment!$AM$2:$AM$100,H$2,(INDEX(final_df_sentiment!$B$2:$ZZ$100,,MATCH($C22,final_df_sentiment!$B$1:$ZZ$1,0)))), "")</f>
        <v>0.53333333333333333</v>
      </c>
      <c r="I22" s="14">
        <f>IF(O22 &gt; 0, AVERAGEIF(final_df_sentiment!$AM$2:$AM$100,I$2,(INDEX(final_df_sentiment!$B$2:$ZZ$100,,MATCH($C22,final_df_sentiment!$B$1:$ZZ$1,0)))), "")</f>
        <v>0.25</v>
      </c>
      <c r="J22" s="4">
        <f>COUNTIFS((INDEX(final_df_sentiment!$B$2:$ZZ$100,,MATCH($C22,final_df_sentiment!$B$1:$ZZ$1,0))), "&lt;&gt;")</f>
        <v>14</v>
      </c>
      <c r="K22" s="4">
        <f>COUNTIFS((INDEX(final_df_sentiment!$B$2:$ZZ$100,,MATCH($C22,final_df_sentiment!$B$1:$ZZ$1,0))), "&lt;&gt;", final_df_sentiment!$E$2:$E$100, K$2)</f>
        <v>5</v>
      </c>
      <c r="L22" s="4">
        <f>COUNTIFS((INDEX(final_df_sentiment!$B$2:$ZZ$100,,MATCH($C22,final_df_sentiment!$B$1:$ZZ$1,0))), "&lt;&gt;", final_df_sentiment!$E$2:$E$100, L$2)</f>
        <v>9</v>
      </c>
      <c r="M22" s="4">
        <f>COUNTIFS((INDEX(final_df_sentiment!$B$2:$ZZ$100,,MATCH($C22,final_df_sentiment!$B$1:$ZZ$1,0))), "&lt;&gt;", final_df_sentiment!$AM$2:$AM$100, M$2)</f>
        <v>5</v>
      </c>
      <c r="N22" s="4">
        <f>COUNTIFS((INDEX(final_df_sentiment!$B$2:$ZZ$100,,MATCH($C22,final_df_sentiment!$B$1:$ZZ$1,0))), "&lt;&gt;", final_df_sentiment!$AM$2:$AM$100, N$2)</f>
        <v>5</v>
      </c>
      <c r="O22" s="4">
        <f>COUNTIFS((INDEX(final_df_sentiment!$B$2:$ZZ$100,,MATCH($C22,final_df_sentiment!$B$1:$ZZ$1,0))), "&lt;&gt;", final_df_sentiment!$AM$2:$AM$100, O$2)</f>
        <v>4</v>
      </c>
    </row>
    <row r="23" spans="1:15" ht="15.75" thickBot="1" x14ac:dyDescent="0.3">
      <c r="A23" s="26"/>
      <c r="B23" s="15" t="s">
        <v>438</v>
      </c>
      <c r="C23" s="16" t="s">
        <v>50</v>
      </c>
      <c r="D23" s="17">
        <f>IF(J23 &gt; 0, AVERAGE((INDEX(final_df_sentiment!$B$2:$ZZ$100,,MATCH($C23,final_df_sentiment!$B$1:$ZZ$1,0)))), "")</f>
        <v>0.39473684210526316</v>
      </c>
      <c r="E23" s="17">
        <f>IF(K23 &gt; 0, AVERAGEIF(final_df_sentiment!$E$2:$E$100,E$2,(INDEX(final_df_sentiment!$B$2:$ZZ$100,,MATCH($C23,final_df_sentiment!$B$1:$ZZ$1,0)))), "")</f>
        <v>0.5</v>
      </c>
      <c r="F23" s="17">
        <f>IF(L23 &gt; 0, AVERAGEIF(final_df_sentiment!$E$2:$E$100,F$2,(INDEX(final_df_sentiment!$B$2:$ZZ$100,,MATCH($C23,final_df_sentiment!$B$1:$ZZ$1,0)))), "")</f>
        <v>0.33333333333333331</v>
      </c>
      <c r="G23" s="17">
        <f>IF(M23 &gt; 0, AVERAGEIF(final_df_sentiment!$AM$2:$AM$100,G$2,(INDEX(final_df_sentiment!$B$2:$ZZ$100,,MATCH($C23,final_df_sentiment!$B$1:$ZZ$1,0)))), "")</f>
        <v>0.14285714285714285</v>
      </c>
      <c r="H23" s="17">
        <f>IF(N23 &gt; 0, AVERAGEIF(final_df_sentiment!$AM$2:$AM$100,H$2,(INDEX(final_df_sentiment!$B$2:$ZZ$100,,MATCH($C23,final_df_sentiment!$B$1:$ZZ$1,0)))), "")</f>
        <v>0.5625</v>
      </c>
      <c r="I23" s="18">
        <f>IF(O23 &gt; 0, AVERAGEIF(final_df_sentiment!$AM$2:$AM$100,I$2,(INDEX(final_df_sentiment!$B$2:$ZZ$100,,MATCH($C23,final_df_sentiment!$B$1:$ZZ$1,0)))), "")</f>
        <v>0.5</v>
      </c>
      <c r="J23" s="4">
        <f>COUNTIFS((INDEX(final_df_sentiment!$B$2:$ZZ$100,,MATCH($C23,final_df_sentiment!$B$1:$ZZ$1,0))), "&lt;&gt;")</f>
        <v>19</v>
      </c>
      <c r="K23" s="4">
        <f>COUNTIFS((INDEX(final_df_sentiment!$B$2:$ZZ$100,,MATCH($C23,final_df_sentiment!$B$1:$ZZ$1,0))), "&lt;&gt;", final_df_sentiment!$E$2:$E$100, K$2)</f>
        <v>7</v>
      </c>
      <c r="L23" s="4">
        <f>COUNTIFS((INDEX(final_df_sentiment!$B$2:$ZZ$100,,MATCH($C23,final_df_sentiment!$B$1:$ZZ$1,0))), "&lt;&gt;", final_df_sentiment!$E$2:$E$100, L$2)</f>
        <v>12</v>
      </c>
      <c r="M23" s="4">
        <f>COUNTIFS((INDEX(final_df_sentiment!$B$2:$ZZ$100,,MATCH($C23,final_df_sentiment!$B$1:$ZZ$1,0))), "&lt;&gt;", final_df_sentiment!$AM$2:$AM$100, M$2)</f>
        <v>7</v>
      </c>
      <c r="N23" s="4">
        <f>COUNTIFS((INDEX(final_df_sentiment!$B$2:$ZZ$100,,MATCH($C23,final_df_sentiment!$B$1:$ZZ$1,0))), "&lt;&gt;", final_df_sentiment!$AM$2:$AM$100, N$2)</f>
        <v>8</v>
      </c>
      <c r="O23" s="4">
        <f>COUNTIFS((INDEX(final_df_sentiment!$B$2:$ZZ$100,,MATCH($C23,final_df_sentiment!$B$1:$ZZ$1,0))), "&lt;&gt;", final_df_sentiment!$AM$2:$AM$100, O$2)</f>
        <v>4</v>
      </c>
    </row>
    <row r="24" spans="1:15" x14ac:dyDescent="0.25">
      <c r="A24" s="22" t="s">
        <v>390</v>
      </c>
      <c r="B24" s="4" t="s">
        <v>393</v>
      </c>
      <c r="C24" s="1" t="s">
        <v>70</v>
      </c>
      <c r="D24" s="5">
        <f>IF(J24 &gt; 0, AVERAGE((INDEX(final_df_sentiment!$B$2:$ZZ$100,,MATCH($C24,final_df_sentiment!$B$1:$ZZ$1,0)))), "")</f>
        <v>0.95238095238095233</v>
      </c>
      <c r="E24" s="5">
        <f>IF(K24 &gt; 0, AVERAGEIF(final_df_sentiment!$E$2:$E$100,E$2,(INDEX(final_df_sentiment!$B$2:$ZZ$100,,MATCH($C24,final_df_sentiment!$B$1:$ZZ$1,0)))), "")</f>
        <v>1</v>
      </c>
      <c r="F24" s="5">
        <f>IF(L24 &gt; 0, AVERAGEIF(final_df_sentiment!$E$2:$E$100,F$2,(INDEX(final_df_sentiment!$B$2:$ZZ$100,,MATCH($C24,final_df_sentiment!$B$1:$ZZ$1,0)))), "")</f>
        <v>0.92307692307692313</v>
      </c>
      <c r="G24" s="5">
        <f>IF(M24 &gt; 0, AVERAGEIF(final_df_sentiment!$AM$2:$AM$100,G$2,(INDEX(final_df_sentiment!$B$2:$ZZ$100,,MATCH($C24,final_df_sentiment!$B$1:$ZZ$1,0)))), "")</f>
        <v>0.83333333333333337</v>
      </c>
      <c r="H24" s="5">
        <f>IF(N24 &gt; 0, AVERAGEIF(final_df_sentiment!$AM$2:$AM$100,H$2,(INDEX(final_df_sentiment!$B$2:$ZZ$100,,MATCH($C24,final_df_sentiment!$B$1:$ZZ$1,0)))), "")</f>
        <v>1</v>
      </c>
      <c r="I24" s="5">
        <f>IF(O24 &gt; 0, AVERAGEIF(final_df_sentiment!$AM$2:$AM$100,I$2,(INDEX(final_df_sentiment!$B$2:$ZZ$100,,MATCH($C24,final_df_sentiment!$B$1:$ZZ$1,0)))), "")</f>
        <v>1</v>
      </c>
      <c r="J24" s="4">
        <f>COUNTIFS((INDEX(final_df_sentiment!$B$2:$ZZ$100,,MATCH($C24,final_df_sentiment!$B$1:$ZZ$1,0))), "&lt;&gt;")</f>
        <v>21</v>
      </c>
      <c r="K24" s="4">
        <f>COUNTIFS((INDEX(final_df_sentiment!$B$2:$ZZ$100,,MATCH($C24,final_df_sentiment!$B$1:$ZZ$1,0))), "&lt;&gt;", final_df_sentiment!$E$2:$E$100, K$2)</f>
        <v>8</v>
      </c>
      <c r="L24" s="4">
        <f>COUNTIFS((INDEX(final_df_sentiment!$B$2:$ZZ$100,,MATCH($C24,final_df_sentiment!$B$1:$ZZ$1,0))), "&lt;&gt;", final_df_sentiment!$E$2:$E$100, L$2)</f>
        <v>13</v>
      </c>
      <c r="M24" s="4">
        <f>COUNTIFS((INDEX(final_df_sentiment!$B$2:$ZZ$100,,MATCH($C24,final_df_sentiment!$B$1:$ZZ$1,0))), "&lt;&gt;", final_df_sentiment!$AM$2:$AM$100, M$2)</f>
        <v>6</v>
      </c>
      <c r="N24" s="4">
        <f>COUNTIFS((INDEX(final_df_sentiment!$B$2:$ZZ$100,,MATCH($C24,final_df_sentiment!$B$1:$ZZ$1,0))), "&lt;&gt;", final_df_sentiment!$AM$2:$AM$100, N$2)</f>
        <v>9</v>
      </c>
      <c r="O24" s="4">
        <f>COUNTIFS((INDEX(final_df_sentiment!$B$2:$ZZ$100,,MATCH($C24,final_df_sentiment!$B$1:$ZZ$1,0))), "&lt;&gt;", final_df_sentiment!$AM$2:$AM$100, O$2)</f>
        <v>6</v>
      </c>
    </row>
    <row r="25" spans="1:15" x14ac:dyDescent="0.25">
      <c r="A25" s="21"/>
      <c r="B25" s="4" t="s">
        <v>392</v>
      </c>
      <c r="C25" s="1" t="s">
        <v>72</v>
      </c>
      <c r="D25" s="5">
        <f>IF(J25 &gt; 0, AVERAGE((INDEX(final_df_sentiment!$B$2:$ZZ$100,,MATCH($C25,final_df_sentiment!$B$1:$ZZ$1,0)))), "")</f>
        <v>1</v>
      </c>
      <c r="E25" s="5" t="str">
        <f>IF(K25 &gt; 0, AVERAGEIF(final_df_sentiment!$E$2:$E$100,E$2,(INDEX(final_df_sentiment!$B$2:$ZZ$100,,MATCH($C25,final_df_sentiment!$B$1:$ZZ$1,0)))), "")</f>
        <v/>
      </c>
      <c r="F25" s="5">
        <f>IF(L25 &gt; 0, AVERAGEIF(final_df_sentiment!$E$2:$E$100,F$2,(INDEX(final_df_sentiment!$B$2:$ZZ$100,,MATCH($C25,final_df_sentiment!$B$1:$ZZ$1,0)))), "")</f>
        <v>1</v>
      </c>
      <c r="G25" s="5" t="str">
        <f>IF(M25 &gt; 0, AVERAGEIF(final_df_sentiment!$AM$2:$AM$100,G$2,(INDEX(final_df_sentiment!$B$2:$ZZ$100,,MATCH($C25,final_df_sentiment!$B$1:$ZZ$1,0)))), "")</f>
        <v/>
      </c>
      <c r="H25" s="5">
        <f>IF(N25 &gt; 0, AVERAGEIF(final_df_sentiment!$AM$2:$AM$100,H$2,(INDEX(final_df_sentiment!$B$2:$ZZ$100,,MATCH($C25,final_df_sentiment!$B$1:$ZZ$1,0)))), "")</f>
        <v>1</v>
      </c>
      <c r="I25" s="5">
        <f>IF(O25 &gt; 0, AVERAGEIF(final_df_sentiment!$AM$2:$AM$100,I$2,(INDEX(final_df_sentiment!$B$2:$ZZ$100,,MATCH($C25,final_df_sentiment!$B$1:$ZZ$1,0)))), "")</f>
        <v>1</v>
      </c>
      <c r="J25" s="4">
        <f>COUNTIFS((INDEX(final_df_sentiment!$B$2:$ZZ$100,,MATCH($C25,final_df_sentiment!$B$1:$ZZ$1,0))), "&lt;&gt;")</f>
        <v>2</v>
      </c>
      <c r="K25" s="4">
        <f>COUNTIFS((INDEX(final_df_sentiment!$B$2:$ZZ$100,,MATCH($C25,final_df_sentiment!$B$1:$ZZ$1,0))), "&lt;&gt;", final_df_sentiment!$E$2:$E$100, K$2)</f>
        <v>0</v>
      </c>
      <c r="L25" s="4">
        <f>COUNTIFS((INDEX(final_df_sentiment!$B$2:$ZZ$100,,MATCH($C25,final_df_sentiment!$B$1:$ZZ$1,0))), "&lt;&gt;", final_df_sentiment!$E$2:$E$100, L$2)</f>
        <v>2</v>
      </c>
      <c r="M25" s="4">
        <f>COUNTIFS((INDEX(final_df_sentiment!$B$2:$ZZ$100,,MATCH($C25,final_df_sentiment!$B$1:$ZZ$1,0))), "&lt;&gt;", final_df_sentiment!$AM$2:$AM$100, M$2)</f>
        <v>0</v>
      </c>
      <c r="N25" s="4">
        <f>COUNTIFS((INDEX(final_df_sentiment!$B$2:$ZZ$100,,MATCH($C25,final_df_sentiment!$B$1:$ZZ$1,0))), "&lt;&gt;", final_df_sentiment!$AM$2:$AM$100, N$2)</f>
        <v>1</v>
      </c>
      <c r="O25" s="4">
        <f>COUNTIFS((INDEX(final_df_sentiment!$B$2:$ZZ$100,,MATCH($C25,final_df_sentiment!$B$1:$ZZ$1,0))), "&lt;&gt;", final_df_sentiment!$AM$2:$AM$100, O$2)</f>
        <v>1</v>
      </c>
    </row>
    <row r="26" spans="1:15" x14ac:dyDescent="0.25">
      <c r="A26" s="21"/>
      <c r="B26" s="4" t="s">
        <v>437</v>
      </c>
      <c r="C26" s="1" t="s">
        <v>71</v>
      </c>
      <c r="D26" s="5">
        <f>IF(J26 &gt; 0, AVERAGE((INDEX(final_df_sentiment!$B$2:$ZZ$100,,MATCH($C26,final_df_sentiment!$B$1:$ZZ$1,0)))), "")</f>
        <v>1</v>
      </c>
      <c r="E26" s="5">
        <f>IF(K26 &gt; 0, AVERAGEIF(final_df_sentiment!$E$2:$E$100,E$2,(INDEX(final_df_sentiment!$B$2:$ZZ$100,,MATCH($C26,final_df_sentiment!$B$1:$ZZ$1,0)))), "")</f>
        <v>1</v>
      </c>
      <c r="F26" s="5">
        <f>IF(L26 &gt; 0, AVERAGEIF(final_df_sentiment!$E$2:$E$100,F$2,(INDEX(final_df_sentiment!$B$2:$ZZ$100,,MATCH($C26,final_df_sentiment!$B$1:$ZZ$1,0)))), "")</f>
        <v>1</v>
      </c>
      <c r="G26" s="5" t="str">
        <f>IF(M26 &gt; 0, AVERAGEIF(final_df_sentiment!$AM$2:$AM$100,G$2,(INDEX(final_df_sentiment!$B$2:$ZZ$100,,MATCH($C26,final_df_sentiment!$B$1:$ZZ$1,0)))), "")</f>
        <v/>
      </c>
      <c r="H26" s="5">
        <f>IF(N26 &gt; 0, AVERAGEIF(final_df_sentiment!$AM$2:$AM$100,H$2,(INDEX(final_df_sentiment!$B$2:$ZZ$100,,MATCH($C26,final_df_sentiment!$B$1:$ZZ$1,0)))), "")</f>
        <v>1</v>
      </c>
      <c r="I26" s="5">
        <f>IF(O26 &gt; 0, AVERAGEIF(final_df_sentiment!$AM$2:$AM$100,I$2,(INDEX(final_df_sentiment!$B$2:$ZZ$100,,MATCH($C26,final_df_sentiment!$B$1:$ZZ$1,0)))), "")</f>
        <v>1</v>
      </c>
      <c r="J26" s="4">
        <f>COUNTIFS((INDEX(final_df_sentiment!$B$2:$ZZ$100,,MATCH($C26,final_df_sentiment!$B$1:$ZZ$1,0))), "&lt;&gt;")</f>
        <v>3</v>
      </c>
      <c r="K26" s="4">
        <f>COUNTIFS((INDEX(final_df_sentiment!$B$2:$ZZ$100,,MATCH($C26,final_df_sentiment!$B$1:$ZZ$1,0))), "&lt;&gt;", final_df_sentiment!$E$2:$E$100, K$2)</f>
        <v>1</v>
      </c>
      <c r="L26" s="4">
        <f>COUNTIFS((INDEX(final_df_sentiment!$B$2:$ZZ$100,,MATCH($C26,final_df_sentiment!$B$1:$ZZ$1,0))), "&lt;&gt;", final_df_sentiment!$E$2:$E$100, L$2)</f>
        <v>2</v>
      </c>
      <c r="M26" s="4">
        <f>COUNTIFS((INDEX(final_df_sentiment!$B$2:$ZZ$100,,MATCH($C26,final_df_sentiment!$B$1:$ZZ$1,0))), "&lt;&gt;", final_df_sentiment!$AM$2:$AM$100, M$2)</f>
        <v>0</v>
      </c>
      <c r="N26" s="4">
        <f>COUNTIFS((INDEX(final_df_sentiment!$B$2:$ZZ$100,,MATCH($C26,final_df_sentiment!$B$1:$ZZ$1,0))), "&lt;&gt;", final_df_sentiment!$AM$2:$AM$100, N$2)</f>
        <v>1</v>
      </c>
      <c r="O26" s="4">
        <f>COUNTIFS((INDEX(final_df_sentiment!$B$2:$ZZ$100,,MATCH($C26,final_df_sentiment!$B$1:$ZZ$1,0))), "&lt;&gt;", final_df_sentiment!$AM$2:$AM$100, O$2)</f>
        <v>2</v>
      </c>
    </row>
    <row r="27" spans="1:15" x14ac:dyDescent="0.25">
      <c r="A27" s="21"/>
      <c r="B27" s="4" t="s">
        <v>391</v>
      </c>
      <c r="C27" s="1" t="s">
        <v>73</v>
      </c>
      <c r="D27" s="5">
        <f>IF(J27 &gt; 0, AVERAGE((INDEX(final_df_sentiment!$B$2:$ZZ$100,,MATCH($C27,final_df_sentiment!$B$1:$ZZ$1,0)))), "")</f>
        <v>1</v>
      </c>
      <c r="E27" s="5">
        <f>IF(K27 &gt; 0, AVERAGEIF(final_df_sentiment!$E$2:$E$100,E$2,(INDEX(final_df_sentiment!$B$2:$ZZ$100,,MATCH($C27,final_df_sentiment!$B$1:$ZZ$1,0)))), "")</f>
        <v>1</v>
      </c>
      <c r="F27" s="5">
        <f>IF(L27 &gt; 0, AVERAGEIF(final_df_sentiment!$E$2:$E$100,F$2,(INDEX(final_df_sentiment!$B$2:$ZZ$100,,MATCH($C27,final_df_sentiment!$B$1:$ZZ$1,0)))), "")</f>
        <v>1</v>
      </c>
      <c r="G27" s="5">
        <f>IF(M27 &gt; 0, AVERAGEIF(final_df_sentiment!$AM$2:$AM$100,G$2,(INDEX(final_df_sentiment!$B$2:$ZZ$100,,MATCH($C27,final_df_sentiment!$B$1:$ZZ$1,0)))), "")</f>
        <v>1</v>
      </c>
      <c r="H27" s="5">
        <f>IF(N27 &gt; 0, AVERAGEIF(final_df_sentiment!$AM$2:$AM$100,H$2,(INDEX(final_df_sentiment!$B$2:$ZZ$100,,MATCH($C27,final_df_sentiment!$B$1:$ZZ$1,0)))), "")</f>
        <v>1</v>
      </c>
      <c r="I27" s="5">
        <f>IF(O27 &gt; 0, AVERAGEIF(final_df_sentiment!$AM$2:$AM$100,I$2,(INDEX(final_df_sentiment!$B$2:$ZZ$100,,MATCH($C27,final_df_sentiment!$B$1:$ZZ$1,0)))), "")</f>
        <v>1</v>
      </c>
      <c r="J27" s="4">
        <f>COUNTIFS((INDEX(final_df_sentiment!$B$2:$ZZ$100,,MATCH($C27,final_df_sentiment!$B$1:$ZZ$1,0))), "&lt;&gt;")</f>
        <v>6</v>
      </c>
      <c r="K27" s="4">
        <f>COUNTIFS((INDEX(final_df_sentiment!$B$2:$ZZ$100,,MATCH($C27,final_df_sentiment!$B$1:$ZZ$1,0))), "&lt;&gt;", final_df_sentiment!$E$2:$E$100, K$2)</f>
        <v>1</v>
      </c>
      <c r="L27" s="4">
        <f>COUNTIFS((INDEX(final_df_sentiment!$B$2:$ZZ$100,,MATCH($C27,final_df_sentiment!$B$1:$ZZ$1,0))), "&lt;&gt;", final_df_sentiment!$E$2:$E$100, L$2)</f>
        <v>5</v>
      </c>
      <c r="M27" s="4">
        <f>COUNTIFS((INDEX(final_df_sentiment!$B$2:$ZZ$100,,MATCH($C27,final_df_sentiment!$B$1:$ZZ$1,0))), "&lt;&gt;", final_df_sentiment!$AM$2:$AM$100, M$2)</f>
        <v>1</v>
      </c>
      <c r="N27" s="4">
        <f>COUNTIFS((INDEX(final_df_sentiment!$B$2:$ZZ$100,,MATCH($C27,final_df_sentiment!$B$1:$ZZ$1,0))), "&lt;&gt;", final_df_sentiment!$AM$2:$AM$100, N$2)</f>
        <v>2</v>
      </c>
      <c r="O27" s="4">
        <f>COUNTIFS((INDEX(final_df_sentiment!$B$2:$ZZ$100,,MATCH($C27,final_df_sentiment!$B$1:$ZZ$1,0))), "&lt;&gt;", final_df_sentiment!$AM$2:$AM$100, O$2)</f>
        <v>3</v>
      </c>
    </row>
    <row r="28" spans="1:15" ht="15.75" thickBot="1" x14ac:dyDescent="0.3">
      <c r="A28" s="23"/>
      <c r="B28" s="4" t="s">
        <v>389</v>
      </c>
      <c r="C28" s="1" t="s">
        <v>51</v>
      </c>
      <c r="D28" s="5">
        <f>IF(J28 &gt; 0, AVERAGE((INDEX(final_df_sentiment!$B$2:$ZZ$100,,MATCH($C28,final_df_sentiment!$B$1:$ZZ$1,0)))), "")</f>
        <v>0.72727272727272729</v>
      </c>
      <c r="E28" s="5">
        <f>IF(K28 &gt; 0, AVERAGEIF(final_df_sentiment!$E$2:$E$100,E$2,(INDEX(final_df_sentiment!$B$2:$ZZ$100,,MATCH($C28,final_df_sentiment!$B$1:$ZZ$1,0)))), "")</f>
        <v>0.5</v>
      </c>
      <c r="F28" s="5">
        <f>IF(L28 &gt; 0, AVERAGEIF(final_df_sentiment!$E$2:$E$100,F$2,(INDEX(final_df_sentiment!$B$2:$ZZ$100,,MATCH($C28,final_df_sentiment!$B$1:$ZZ$1,0)))), "")</f>
        <v>0.8571428571428571</v>
      </c>
      <c r="G28" s="5">
        <f>IF(M28 &gt; 0, AVERAGEIF(final_df_sentiment!$AM$2:$AM$100,G$2,(INDEX(final_df_sentiment!$B$2:$ZZ$100,,MATCH($C28,final_df_sentiment!$B$1:$ZZ$1,0)))), "")</f>
        <v>0.5</v>
      </c>
      <c r="H28" s="5">
        <f>IF(N28 &gt; 0, AVERAGEIF(final_df_sentiment!$AM$2:$AM$100,H$2,(INDEX(final_df_sentiment!$B$2:$ZZ$100,,MATCH($C28,final_df_sentiment!$B$1:$ZZ$1,0)))), "")</f>
        <v>0.75</v>
      </c>
      <c r="I28" s="5">
        <f>IF(O28 &gt; 0, AVERAGEIF(final_df_sentiment!$AM$2:$AM$100,I$2,(INDEX(final_df_sentiment!$B$2:$ZZ$100,,MATCH($C28,final_df_sentiment!$B$1:$ZZ$1,0)))), "")</f>
        <v>0.8</v>
      </c>
      <c r="J28" s="4">
        <f>COUNTIFS((INDEX(final_df_sentiment!$B$2:$ZZ$100,,MATCH($C28,final_df_sentiment!$B$1:$ZZ$1,0))), "&lt;&gt;")</f>
        <v>11</v>
      </c>
      <c r="K28" s="4">
        <f>COUNTIFS((INDEX(final_df_sentiment!$B$2:$ZZ$100,,MATCH($C28,final_df_sentiment!$B$1:$ZZ$1,0))), "&lt;&gt;", final_df_sentiment!$E$2:$E$100, K$2)</f>
        <v>4</v>
      </c>
      <c r="L28" s="4">
        <f>COUNTIFS((INDEX(final_df_sentiment!$B$2:$ZZ$100,,MATCH($C28,final_df_sentiment!$B$1:$ZZ$1,0))), "&lt;&gt;", final_df_sentiment!$E$2:$E$100, L$2)</f>
        <v>7</v>
      </c>
      <c r="M28" s="4">
        <f>COUNTIFS((INDEX(final_df_sentiment!$B$2:$ZZ$100,,MATCH($C28,final_df_sentiment!$B$1:$ZZ$1,0))), "&lt;&gt;", final_df_sentiment!$AM$2:$AM$100, M$2)</f>
        <v>2</v>
      </c>
      <c r="N28" s="4">
        <f>COUNTIFS((INDEX(final_df_sentiment!$B$2:$ZZ$100,,MATCH($C28,final_df_sentiment!$B$1:$ZZ$1,0))), "&lt;&gt;", final_df_sentiment!$AM$2:$AM$100, N$2)</f>
        <v>4</v>
      </c>
      <c r="O28" s="4">
        <f>COUNTIFS((INDEX(final_df_sentiment!$B$2:$ZZ$100,,MATCH($C28,final_df_sentiment!$B$1:$ZZ$1,0))), "&lt;&gt;", final_df_sentiment!$AM$2:$AM$100, O$2)</f>
        <v>5</v>
      </c>
    </row>
    <row r="29" spans="1:15" x14ac:dyDescent="0.25">
      <c r="A29" s="24" t="s">
        <v>424</v>
      </c>
      <c r="B29" s="7" t="s">
        <v>445</v>
      </c>
      <c r="C29" s="8" t="s">
        <v>74</v>
      </c>
      <c r="D29" s="9">
        <f>IF(J29 &gt; 0, AVERAGE((INDEX(final_df_sentiment!$B$2:$ZZ$100,,MATCH($C29,final_df_sentiment!$B$1:$ZZ$1,0)))), "")</f>
        <v>0.58333333333333326</v>
      </c>
      <c r="E29" s="9">
        <f>IF(K29 &gt; 0, AVERAGEIF(final_df_sentiment!$E$2:$E$100,E$2,(INDEX(final_df_sentiment!$B$2:$ZZ$100,,MATCH($C29,final_df_sentiment!$B$1:$ZZ$1,0)))), "")</f>
        <v>0.62745098039215685</v>
      </c>
      <c r="F29" s="9">
        <f>IF(L29 &gt; 0, AVERAGEIF(final_df_sentiment!$E$2:$E$100,F$2,(INDEX(final_df_sentiment!$B$2:$ZZ$100,,MATCH($C29,final_df_sentiment!$B$1:$ZZ$1,0)))), "")</f>
        <v>0.53333333333333333</v>
      </c>
      <c r="G29" s="9">
        <f>IF(M29 &gt; 0, AVERAGEIF(final_df_sentiment!$AM$2:$AM$100,G$2,(INDEX(final_df_sentiment!$B$2:$ZZ$100,,MATCH($C29,final_df_sentiment!$B$1:$ZZ$1,0)))), "")</f>
        <v>0.4</v>
      </c>
      <c r="H29" s="9">
        <f>IF(N29 &gt; 0, AVERAGEIF(final_df_sentiment!$AM$2:$AM$100,H$2,(INDEX(final_df_sentiment!$B$2:$ZZ$100,,MATCH($C29,final_df_sentiment!$B$1:$ZZ$1,0)))), "")</f>
        <v>0.66666666666666663</v>
      </c>
      <c r="I29" s="10">
        <f>IF(O29 &gt; 0, AVERAGEIF(final_df_sentiment!$AM$2:$AM$100,I$2,(INDEX(final_df_sentiment!$B$2:$ZZ$100,,MATCH($C29,final_df_sentiment!$B$1:$ZZ$1,0)))), "")</f>
        <v>0.66666666666666663</v>
      </c>
      <c r="J29" s="4">
        <f>COUNTIFS((INDEX(final_df_sentiment!$B$2:$ZZ$100,,MATCH($C29,final_df_sentiment!$B$1:$ZZ$1,0))), "&lt;&gt;")</f>
        <v>32</v>
      </c>
      <c r="K29" s="4">
        <f>COUNTIFS((INDEX(final_df_sentiment!$B$2:$ZZ$100,,MATCH($C29,final_df_sentiment!$B$1:$ZZ$1,0))), "&lt;&gt;", final_df_sentiment!$E$2:$E$100, K$2)</f>
        <v>17</v>
      </c>
      <c r="L29" s="4">
        <f>COUNTIFS((INDEX(final_df_sentiment!$B$2:$ZZ$100,,MATCH($C29,final_df_sentiment!$B$1:$ZZ$1,0))), "&lt;&gt;", final_df_sentiment!$E$2:$E$100, L$2)</f>
        <v>15</v>
      </c>
      <c r="M29" s="4">
        <f>COUNTIFS((INDEX(final_df_sentiment!$B$2:$ZZ$100,,MATCH($C29,final_df_sentiment!$B$1:$ZZ$1,0))), "&lt;&gt;", final_df_sentiment!$AM$2:$AM$100, M$2)</f>
        <v>10</v>
      </c>
      <c r="N29" s="4">
        <f>COUNTIFS((INDEX(final_df_sentiment!$B$2:$ZZ$100,,MATCH($C29,final_df_sentiment!$B$1:$ZZ$1,0))), "&lt;&gt;", final_df_sentiment!$AM$2:$AM$100, N$2)</f>
        <v>10</v>
      </c>
      <c r="O29" s="4">
        <f>COUNTIFS((INDEX(final_df_sentiment!$B$2:$ZZ$100,,MATCH($C29,final_df_sentiment!$B$1:$ZZ$1,0))), "&lt;&gt;", final_df_sentiment!$AM$2:$AM$100, O$2)</f>
        <v>12</v>
      </c>
    </row>
    <row r="30" spans="1:15" x14ac:dyDescent="0.25">
      <c r="A30" s="25"/>
      <c r="B30" s="11" t="s">
        <v>443</v>
      </c>
      <c r="C30" s="12" t="s">
        <v>75</v>
      </c>
      <c r="D30" s="13">
        <f>IF(J30 &gt; 0, AVERAGE((INDEX(final_df_sentiment!$B$2:$ZZ$100,,MATCH($C30,final_df_sentiment!$B$1:$ZZ$1,0)))), "")</f>
        <v>0.66666666666666663</v>
      </c>
      <c r="E30" s="13">
        <f>IF(K30 &gt; 0, AVERAGEIF(final_df_sentiment!$E$2:$E$100,E$2,(INDEX(final_df_sentiment!$B$2:$ZZ$100,,MATCH($C30,final_df_sentiment!$B$1:$ZZ$1,0)))), "")</f>
        <v>0.69444444444444431</v>
      </c>
      <c r="F30" s="13">
        <f>IF(L30 &gt; 0, AVERAGEIF(final_df_sentiment!$E$2:$E$100,F$2,(INDEX(final_df_sentiment!$B$2:$ZZ$100,,MATCH($C30,final_df_sentiment!$B$1:$ZZ$1,0)))), "")</f>
        <v>0.6428571428571429</v>
      </c>
      <c r="G30" s="13">
        <f>IF(M30 &gt; 0, AVERAGEIF(final_df_sentiment!$AM$2:$AM$100,G$2,(INDEX(final_df_sentiment!$B$2:$ZZ$100,,MATCH($C30,final_df_sentiment!$B$1:$ZZ$1,0)))), "")</f>
        <v>0.61111111111111116</v>
      </c>
      <c r="H30" s="13">
        <f>IF(N30 &gt; 0, AVERAGEIF(final_df_sentiment!$AM$2:$AM$100,H$2,(INDEX(final_df_sentiment!$B$2:$ZZ$100,,MATCH($C30,final_df_sentiment!$B$1:$ZZ$1,0)))), "")</f>
        <v>0.6333333333333333</v>
      </c>
      <c r="I30" s="14">
        <f>IF(O30 &gt; 0, AVERAGEIF(final_df_sentiment!$AM$2:$AM$100,I$2,(INDEX(final_df_sentiment!$B$2:$ZZ$100,,MATCH($C30,final_df_sentiment!$B$1:$ZZ$1,0)))), "")</f>
        <v>0.7857142857142857</v>
      </c>
      <c r="J30" s="4">
        <f>COUNTIFS((INDEX(final_df_sentiment!$B$2:$ZZ$100,,MATCH($C30,final_df_sentiment!$B$1:$ZZ$1,0))), "&lt;&gt;")</f>
        <v>26</v>
      </c>
      <c r="K30" s="4">
        <f>COUNTIFS((INDEX(final_df_sentiment!$B$2:$ZZ$100,,MATCH($C30,final_df_sentiment!$B$1:$ZZ$1,0))), "&lt;&gt;", final_df_sentiment!$E$2:$E$100, K$2)</f>
        <v>12</v>
      </c>
      <c r="L30" s="4">
        <f>COUNTIFS((INDEX(final_df_sentiment!$B$2:$ZZ$100,,MATCH($C30,final_df_sentiment!$B$1:$ZZ$1,0))), "&lt;&gt;", final_df_sentiment!$E$2:$E$100, L$2)</f>
        <v>14</v>
      </c>
      <c r="M30" s="4">
        <f>COUNTIFS((INDEX(final_df_sentiment!$B$2:$ZZ$100,,MATCH($C30,final_df_sentiment!$B$1:$ZZ$1,0))), "&lt;&gt;", final_df_sentiment!$AM$2:$AM$100, M$2)</f>
        <v>9</v>
      </c>
      <c r="N30" s="4">
        <f>COUNTIFS((INDEX(final_df_sentiment!$B$2:$ZZ$100,,MATCH($C30,final_df_sentiment!$B$1:$ZZ$1,0))), "&lt;&gt;", final_df_sentiment!$AM$2:$AM$100, N$2)</f>
        <v>10</v>
      </c>
      <c r="O30" s="4">
        <f>COUNTIFS((INDEX(final_df_sentiment!$B$2:$ZZ$100,,MATCH($C30,final_df_sentiment!$B$1:$ZZ$1,0))), "&lt;&gt;", final_df_sentiment!$AM$2:$AM$100, O$2)</f>
        <v>7</v>
      </c>
    </row>
    <row r="31" spans="1:15" x14ac:dyDescent="0.25">
      <c r="A31" s="25"/>
      <c r="B31" s="11" t="s">
        <v>446</v>
      </c>
      <c r="C31" s="12" t="s">
        <v>76</v>
      </c>
      <c r="D31" s="13">
        <f>IF(J31 &gt; 0, AVERAGE((INDEX(final_df_sentiment!$B$2:$ZZ$100,,MATCH($C31,final_df_sentiment!$B$1:$ZZ$1,0)))), "")</f>
        <v>0.94736842105263153</v>
      </c>
      <c r="E31" s="13">
        <f>IF(K31 &gt; 0, AVERAGEIF(final_df_sentiment!$E$2:$E$100,E$2,(INDEX(final_df_sentiment!$B$2:$ZZ$100,,MATCH($C31,final_df_sentiment!$B$1:$ZZ$1,0)))), "")</f>
        <v>0.88888888888888884</v>
      </c>
      <c r="F31" s="13">
        <f>IF(L31 &gt; 0, AVERAGEIF(final_df_sentiment!$E$2:$E$100,F$2,(INDEX(final_df_sentiment!$B$2:$ZZ$100,,MATCH($C31,final_df_sentiment!$B$1:$ZZ$1,0)))), "")</f>
        <v>1</v>
      </c>
      <c r="G31" s="13">
        <f>IF(M31 &gt; 0, AVERAGEIF(final_df_sentiment!$AM$2:$AM$100,G$2,(INDEX(final_df_sentiment!$B$2:$ZZ$100,,MATCH($C31,final_df_sentiment!$B$1:$ZZ$1,0)))), "")</f>
        <v>0.83333333333333337</v>
      </c>
      <c r="H31" s="13">
        <f>IF(N31 &gt; 0, AVERAGEIF(final_df_sentiment!$AM$2:$AM$100,H$2,(INDEX(final_df_sentiment!$B$2:$ZZ$100,,MATCH($C31,final_df_sentiment!$B$1:$ZZ$1,0)))), "")</f>
        <v>1</v>
      </c>
      <c r="I31" s="14">
        <f>IF(O31 &gt; 0, AVERAGEIF(final_df_sentiment!$AM$2:$AM$100,I$2,(INDEX(final_df_sentiment!$B$2:$ZZ$100,,MATCH($C31,final_df_sentiment!$B$1:$ZZ$1,0)))), "")</f>
        <v>1</v>
      </c>
      <c r="J31" s="4">
        <f>COUNTIFS((INDEX(final_df_sentiment!$B$2:$ZZ$100,,MATCH($C31,final_df_sentiment!$B$1:$ZZ$1,0))), "&lt;&gt;")</f>
        <v>19</v>
      </c>
      <c r="K31" s="4">
        <f>COUNTIFS((INDEX(final_df_sentiment!$B$2:$ZZ$100,,MATCH($C31,final_df_sentiment!$B$1:$ZZ$1,0))), "&lt;&gt;", final_df_sentiment!$E$2:$E$100, K$2)</f>
        <v>9</v>
      </c>
      <c r="L31" s="4">
        <f>COUNTIFS((INDEX(final_df_sentiment!$B$2:$ZZ$100,,MATCH($C31,final_df_sentiment!$B$1:$ZZ$1,0))), "&lt;&gt;", final_df_sentiment!$E$2:$E$100, L$2)</f>
        <v>10</v>
      </c>
      <c r="M31" s="4">
        <f>COUNTIFS((INDEX(final_df_sentiment!$B$2:$ZZ$100,,MATCH($C31,final_df_sentiment!$B$1:$ZZ$1,0))), "&lt;&gt;", final_df_sentiment!$AM$2:$AM$100, M$2)</f>
        <v>6</v>
      </c>
      <c r="N31" s="4">
        <f>COUNTIFS((INDEX(final_df_sentiment!$B$2:$ZZ$100,,MATCH($C31,final_df_sentiment!$B$1:$ZZ$1,0))), "&lt;&gt;", final_df_sentiment!$AM$2:$AM$100, N$2)</f>
        <v>7</v>
      </c>
      <c r="O31" s="4">
        <f>COUNTIFS((INDEX(final_df_sentiment!$B$2:$ZZ$100,,MATCH($C31,final_df_sentiment!$B$1:$ZZ$1,0))), "&lt;&gt;", final_df_sentiment!$AM$2:$AM$100, O$2)</f>
        <v>6</v>
      </c>
    </row>
    <row r="32" spans="1:15" x14ac:dyDescent="0.25">
      <c r="A32" s="25"/>
      <c r="B32" s="11" t="s">
        <v>423</v>
      </c>
      <c r="C32" s="12" t="s">
        <v>86</v>
      </c>
      <c r="D32" s="13">
        <f>IF(J32 &gt; 0, AVERAGE((INDEX(final_df_sentiment!$B$2:$ZZ$100,,MATCH($C32,final_df_sentiment!$B$1:$ZZ$1,0)))), "")</f>
        <v>0.44444444444444442</v>
      </c>
      <c r="E32" s="13">
        <f>IF(K32 &gt; 0, AVERAGEIF(final_df_sentiment!$E$2:$E$100,E$2,(INDEX(final_df_sentiment!$B$2:$ZZ$100,,MATCH($C32,final_df_sentiment!$B$1:$ZZ$1,0)))), "")</f>
        <v>0.7</v>
      </c>
      <c r="F32" s="13">
        <f>IF(L32 &gt; 0, AVERAGEIF(final_df_sentiment!$E$2:$E$100,F$2,(INDEX(final_df_sentiment!$B$2:$ZZ$100,,MATCH($C32,final_df_sentiment!$B$1:$ZZ$1,0)))), "")</f>
        <v>0.125</v>
      </c>
      <c r="G32" s="13">
        <f>IF(M32 &gt; 0, AVERAGEIF(final_df_sentiment!$AM$2:$AM$100,G$2,(INDEX(final_df_sentiment!$B$2:$ZZ$100,,MATCH($C32,final_df_sentiment!$B$1:$ZZ$1,0)))), "")</f>
        <v>0</v>
      </c>
      <c r="H32" s="13">
        <f>IF(N32 &gt; 0, AVERAGEIF(final_df_sentiment!$AM$2:$AM$100,H$2,(INDEX(final_df_sentiment!$B$2:$ZZ$100,,MATCH($C32,final_df_sentiment!$B$1:$ZZ$1,0)))), "")</f>
        <v>0.5</v>
      </c>
      <c r="I32" s="14">
        <f>IF(O32 &gt; 0, AVERAGEIF(final_df_sentiment!$AM$2:$AM$100,I$2,(INDEX(final_df_sentiment!$B$2:$ZZ$100,,MATCH($C32,final_df_sentiment!$B$1:$ZZ$1,0)))), "")</f>
        <v>0.75</v>
      </c>
      <c r="J32" s="4">
        <f>COUNTIFS((INDEX(final_df_sentiment!$B$2:$ZZ$100,,MATCH($C32,final_df_sentiment!$B$1:$ZZ$1,0))), "&lt;&gt;")</f>
        <v>9</v>
      </c>
      <c r="K32" s="4">
        <f>COUNTIFS((INDEX(final_df_sentiment!$B$2:$ZZ$100,,MATCH($C32,final_df_sentiment!$B$1:$ZZ$1,0))), "&lt;&gt;", final_df_sentiment!$E$2:$E$100, K$2)</f>
        <v>5</v>
      </c>
      <c r="L32" s="4">
        <f>COUNTIFS((INDEX(final_df_sentiment!$B$2:$ZZ$100,,MATCH($C32,final_df_sentiment!$B$1:$ZZ$1,0))), "&lt;&gt;", final_df_sentiment!$E$2:$E$100, L$2)</f>
        <v>4</v>
      </c>
      <c r="M32" s="4">
        <f>COUNTIFS((INDEX(final_df_sentiment!$B$2:$ZZ$100,,MATCH($C32,final_df_sentiment!$B$1:$ZZ$1,0))), "&lt;&gt;", final_df_sentiment!$AM$2:$AM$100, M$2)</f>
        <v>2</v>
      </c>
      <c r="N32" s="4">
        <f>COUNTIFS((INDEX(final_df_sentiment!$B$2:$ZZ$100,,MATCH($C32,final_df_sentiment!$B$1:$ZZ$1,0))), "&lt;&gt;", final_df_sentiment!$AM$2:$AM$100, N$2)</f>
        <v>5</v>
      </c>
      <c r="O32" s="4">
        <f>COUNTIFS((INDEX(final_df_sentiment!$B$2:$ZZ$100,,MATCH($C32,final_df_sentiment!$B$1:$ZZ$1,0))), "&lt;&gt;", final_df_sentiment!$AM$2:$AM$100, O$2)</f>
        <v>2</v>
      </c>
    </row>
    <row r="33" spans="1:15" x14ac:dyDescent="0.25">
      <c r="A33" s="25"/>
      <c r="B33" s="11" t="s">
        <v>444</v>
      </c>
      <c r="C33" s="12" t="s">
        <v>87</v>
      </c>
      <c r="D33" s="13">
        <f>IF(J33 &gt; 0, AVERAGE((INDEX(final_df_sentiment!$B$2:$ZZ$100,,MATCH($C33,final_df_sentiment!$B$1:$ZZ$1,0)))), "")</f>
        <v>0.65</v>
      </c>
      <c r="E33" s="13">
        <f>IF(K33 &gt; 0, AVERAGEIF(final_df_sentiment!$E$2:$E$100,E$2,(INDEX(final_df_sentiment!$B$2:$ZZ$100,,MATCH($C33,final_df_sentiment!$B$1:$ZZ$1,0)))), "")</f>
        <v>0.5</v>
      </c>
      <c r="F33" s="13">
        <f>IF(L33 &gt; 0, AVERAGEIF(final_df_sentiment!$E$2:$E$100,F$2,(INDEX(final_df_sentiment!$B$2:$ZZ$100,,MATCH($C33,final_df_sentiment!$B$1:$ZZ$1,0)))), "")</f>
        <v>0.75</v>
      </c>
      <c r="G33" s="13">
        <f>IF(M33 &gt; 0, AVERAGEIF(final_df_sentiment!$AM$2:$AM$100,G$2,(INDEX(final_df_sentiment!$B$2:$ZZ$100,,MATCH($C33,final_df_sentiment!$B$1:$ZZ$1,0)))), "")</f>
        <v>0.61111111111111116</v>
      </c>
      <c r="H33" s="13">
        <f>IF(N33 &gt; 0, AVERAGEIF(final_df_sentiment!$AM$2:$AM$100,H$2,(INDEX(final_df_sentiment!$B$2:$ZZ$100,,MATCH($C33,final_df_sentiment!$B$1:$ZZ$1,0)))), "")</f>
        <v>0.5</v>
      </c>
      <c r="I33" s="14">
        <f>IF(O33 &gt; 0, AVERAGEIF(final_df_sentiment!$AM$2:$AM$100,I$2,(INDEX(final_df_sentiment!$B$2:$ZZ$100,,MATCH($C33,final_df_sentiment!$B$1:$ZZ$1,0)))), "")</f>
        <v>0.75</v>
      </c>
      <c r="J33" s="4">
        <f>COUNTIFS((INDEX(final_df_sentiment!$B$2:$ZZ$100,,MATCH($C33,final_df_sentiment!$B$1:$ZZ$1,0))), "&lt;&gt;")</f>
        <v>20</v>
      </c>
      <c r="K33" s="4">
        <f>COUNTIFS((INDEX(final_df_sentiment!$B$2:$ZZ$100,,MATCH($C33,final_df_sentiment!$B$1:$ZZ$1,0))), "&lt;&gt;", final_df_sentiment!$E$2:$E$100, K$2)</f>
        <v>8</v>
      </c>
      <c r="L33" s="4">
        <f>COUNTIFS((INDEX(final_df_sentiment!$B$2:$ZZ$100,,MATCH($C33,final_df_sentiment!$B$1:$ZZ$1,0))), "&lt;&gt;", final_df_sentiment!$E$2:$E$100, L$2)</f>
        <v>12</v>
      </c>
      <c r="M33" s="4">
        <f>COUNTIFS((INDEX(final_df_sentiment!$B$2:$ZZ$100,,MATCH($C33,final_df_sentiment!$B$1:$ZZ$1,0))), "&lt;&gt;", final_df_sentiment!$AM$2:$AM$100, M$2)</f>
        <v>9</v>
      </c>
      <c r="N33" s="4">
        <f>COUNTIFS((INDEX(final_df_sentiment!$B$2:$ZZ$100,,MATCH($C33,final_df_sentiment!$B$1:$ZZ$1,0))), "&lt;&gt;", final_df_sentiment!$AM$2:$AM$100, N$2)</f>
        <v>3</v>
      </c>
      <c r="O33" s="4">
        <f>COUNTIFS((INDEX(final_df_sentiment!$B$2:$ZZ$100,,MATCH($C33,final_df_sentiment!$B$1:$ZZ$1,0))), "&lt;&gt;", final_df_sentiment!$AM$2:$AM$100, O$2)</f>
        <v>8</v>
      </c>
    </row>
    <row r="34" spans="1:15" ht="15.75" thickBot="1" x14ac:dyDescent="0.3">
      <c r="A34" s="26"/>
      <c r="B34" s="15" t="s">
        <v>447</v>
      </c>
      <c r="C34" s="16" t="s">
        <v>77</v>
      </c>
      <c r="D34" s="17">
        <f>IF(J34 &gt; 0, AVERAGE((INDEX(final_df_sentiment!$B$2:$ZZ$100,,MATCH($C34,final_df_sentiment!$B$1:$ZZ$1,0)))), "")</f>
        <v>0.77777777777777768</v>
      </c>
      <c r="E34" s="17">
        <f>IF(K34 &gt; 0, AVERAGEIF(final_df_sentiment!$E$2:$E$100,E$2,(INDEX(final_df_sentiment!$B$2:$ZZ$100,,MATCH($C34,final_df_sentiment!$B$1:$ZZ$1,0)))), "")</f>
        <v>0.75</v>
      </c>
      <c r="F34" s="17">
        <f>IF(L34 &gt; 0, AVERAGEIF(final_df_sentiment!$E$2:$E$100,F$2,(INDEX(final_df_sentiment!$B$2:$ZZ$100,,MATCH($C34,final_df_sentiment!$B$1:$ZZ$1,0)))), "")</f>
        <v>0.81666666666666665</v>
      </c>
      <c r="G34" s="17">
        <f>IF(M34 &gt; 0, AVERAGEIF(final_df_sentiment!$AM$2:$AM$100,G$2,(INDEX(final_df_sentiment!$B$2:$ZZ$100,,MATCH($C34,final_df_sentiment!$B$1:$ZZ$1,0)))), "")</f>
        <v>0.77777777777777779</v>
      </c>
      <c r="H34" s="17">
        <f>IF(N34 &gt; 0, AVERAGEIF(final_df_sentiment!$AM$2:$AM$100,H$2,(INDEX(final_df_sentiment!$B$2:$ZZ$100,,MATCH($C34,final_df_sentiment!$B$1:$ZZ$1,0)))), "")</f>
        <v>0.76666666666666661</v>
      </c>
      <c r="I34" s="18">
        <f>IF(O34 &gt; 0, AVERAGEIF(final_df_sentiment!$AM$2:$AM$100,I$2,(INDEX(final_df_sentiment!$B$2:$ZZ$100,,MATCH($C34,final_df_sentiment!$B$1:$ZZ$1,0)))), "")</f>
        <v>0.8</v>
      </c>
      <c r="J34" s="4">
        <f>COUNTIFS((INDEX(final_df_sentiment!$B$2:$ZZ$100,,MATCH($C34,final_df_sentiment!$B$1:$ZZ$1,0))), "&lt;&gt;")</f>
        <v>24</v>
      </c>
      <c r="K34" s="4">
        <f>COUNTIFS((INDEX(final_df_sentiment!$B$2:$ZZ$100,,MATCH($C34,final_df_sentiment!$B$1:$ZZ$1,0))), "&lt;&gt;", final_df_sentiment!$E$2:$E$100, K$2)</f>
        <v>14</v>
      </c>
      <c r="L34" s="4">
        <f>COUNTIFS((INDEX(final_df_sentiment!$B$2:$ZZ$100,,MATCH($C34,final_df_sentiment!$B$1:$ZZ$1,0))), "&lt;&gt;", final_df_sentiment!$E$2:$E$100, L$2)</f>
        <v>10</v>
      </c>
      <c r="M34" s="4">
        <f>COUNTIFS((INDEX(final_df_sentiment!$B$2:$ZZ$100,,MATCH($C34,final_df_sentiment!$B$1:$ZZ$1,0))), "&lt;&gt;", final_df_sentiment!$AM$2:$AM$100, M$2)</f>
        <v>9</v>
      </c>
      <c r="N34" s="4">
        <f>COUNTIFS((INDEX(final_df_sentiment!$B$2:$ZZ$100,,MATCH($C34,final_df_sentiment!$B$1:$ZZ$1,0))), "&lt;&gt;", final_df_sentiment!$AM$2:$AM$100, N$2)</f>
        <v>10</v>
      </c>
      <c r="O34" s="4">
        <f>COUNTIFS((INDEX(final_df_sentiment!$B$2:$ZZ$100,,MATCH($C34,final_df_sentiment!$B$1:$ZZ$1,0))), "&lt;&gt;", final_df_sentiment!$AM$2:$AM$100, O$2)</f>
        <v>5</v>
      </c>
    </row>
    <row r="35" spans="1:15" x14ac:dyDescent="0.25">
      <c r="A35" s="22" t="s">
        <v>400</v>
      </c>
      <c r="B35" s="4" t="s">
        <v>401</v>
      </c>
      <c r="C35" s="1" t="s">
        <v>78</v>
      </c>
      <c r="D35" s="5">
        <f>IF(J35 &gt; 0, AVERAGE((INDEX(final_df_sentiment!$B$2:$ZZ$100,,MATCH($C35,final_df_sentiment!$B$1:$ZZ$1,0)))), "")</f>
        <v>0.25</v>
      </c>
      <c r="E35" s="5" t="str">
        <f>IF(K35 &gt; 0, AVERAGEIF(final_df_sentiment!$E$2:$E$100,E$2,(INDEX(final_df_sentiment!$B$2:$ZZ$100,,MATCH($C35,final_df_sentiment!$B$1:$ZZ$1,0)))), "")</f>
        <v/>
      </c>
      <c r="F35" s="5">
        <f>IF(L35 &gt; 0, AVERAGEIF(final_df_sentiment!$E$2:$E$100,F$2,(INDEX(final_df_sentiment!$B$2:$ZZ$100,,MATCH($C35,final_df_sentiment!$B$1:$ZZ$1,0)))), "")</f>
        <v>0.25</v>
      </c>
      <c r="G35" s="5" t="str">
        <f>IF(M35 &gt; 0, AVERAGEIF(final_df_sentiment!$AM$2:$AM$100,G$2,(INDEX(final_df_sentiment!$B$2:$ZZ$100,,MATCH($C35,final_df_sentiment!$B$1:$ZZ$1,0)))), "")</f>
        <v/>
      </c>
      <c r="H35" s="5">
        <f>IF(N35 &gt; 0, AVERAGEIF(final_df_sentiment!$AM$2:$AM$100,H$2,(INDEX(final_df_sentiment!$B$2:$ZZ$100,,MATCH($C35,final_df_sentiment!$B$1:$ZZ$1,0)))), "")</f>
        <v>0.5</v>
      </c>
      <c r="I35" s="5">
        <f>IF(O35 &gt; 0, AVERAGEIF(final_df_sentiment!$AM$2:$AM$100,I$2,(INDEX(final_df_sentiment!$B$2:$ZZ$100,,MATCH($C35,final_df_sentiment!$B$1:$ZZ$1,0)))), "")</f>
        <v>0</v>
      </c>
      <c r="J35" s="4">
        <f>COUNTIFS((INDEX(final_df_sentiment!$B$2:$ZZ$100,,MATCH($C35,final_df_sentiment!$B$1:$ZZ$1,0))), "&lt;&gt;")</f>
        <v>2</v>
      </c>
      <c r="K35" s="4">
        <f>COUNTIFS((INDEX(final_df_sentiment!$B$2:$ZZ$100,,MATCH($C35,final_df_sentiment!$B$1:$ZZ$1,0))), "&lt;&gt;", final_df_sentiment!$E$2:$E$100, K$2)</f>
        <v>0</v>
      </c>
      <c r="L35" s="4">
        <f>COUNTIFS((INDEX(final_df_sentiment!$B$2:$ZZ$100,,MATCH($C35,final_df_sentiment!$B$1:$ZZ$1,0))), "&lt;&gt;", final_df_sentiment!$E$2:$E$100, L$2)</f>
        <v>2</v>
      </c>
      <c r="M35" s="4">
        <f>COUNTIFS((INDEX(final_df_sentiment!$B$2:$ZZ$100,,MATCH($C35,final_df_sentiment!$B$1:$ZZ$1,0))), "&lt;&gt;", final_df_sentiment!$AM$2:$AM$100, M$2)</f>
        <v>0</v>
      </c>
      <c r="N35" s="4">
        <f>COUNTIFS((INDEX(final_df_sentiment!$B$2:$ZZ$100,,MATCH($C35,final_df_sentiment!$B$1:$ZZ$1,0))), "&lt;&gt;", final_df_sentiment!$AM$2:$AM$100, N$2)</f>
        <v>1</v>
      </c>
      <c r="O35" s="4">
        <f>COUNTIFS((INDEX(final_df_sentiment!$B$2:$ZZ$100,,MATCH($C35,final_df_sentiment!$B$1:$ZZ$1,0))), "&lt;&gt;", final_df_sentiment!$AM$2:$AM$100, O$2)</f>
        <v>1</v>
      </c>
    </row>
    <row r="36" spans="1:15" x14ac:dyDescent="0.25">
      <c r="A36" s="21"/>
      <c r="B36" s="4" t="s">
        <v>427</v>
      </c>
      <c r="C36" s="1" t="s">
        <v>81</v>
      </c>
      <c r="D36" s="5">
        <f>IF(J36 &gt; 0, AVERAGE((INDEX(final_df_sentiment!$B$2:$ZZ$100,,MATCH($C36,final_df_sentiment!$B$1:$ZZ$1,0)))), "")</f>
        <v>0</v>
      </c>
      <c r="E36" s="5">
        <f>IF(K36 &gt; 0, AVERAGEIF(final_df_sentiment!$E$2:$E$100,E$2,(INDEX(final_df_sentiment!$B$2:$ZZ$100,,MATCH($C36,final_df_sentiment!$B$1:$ZZ$1,0)))), "")</f>
        <v>0</v>
      </c>
      <c r="F36" s="5">
        <f>IF(L36 &gt; 0, AVERAGEIF(final_df_sentiment!$E$2:$E$100,F$2,(INDEX(final_df_sentiment!$B$2:$ZZ$100,,MATCH($C36,final_df_sentiment!$B$1:$ZZ$1,0)))), "")</f>
        <v>0</v>
      </c>
      <c r="G36" s="5" t="str">
        <f>IF(M36 &gt; 0, AVERAGEIF(final_df_sentiment!$AM$2:$AM$100,G$2,(INDEX(final_df_sentiment!$B$2:$ZZ$100,,MATCH($C36,final_df_sentiment!$B$1:$ZZ$1,0)))), "")</f>
        <v/>
      </c>
      <c r="H36" s="5">
        <f>IF(N36 &gt; 0, AVERAGEIF(final_df_sentiment!$AM$2:$AM$100,H$2,(INDEX(final_df_sentiment!$B$2:$ZZ$100,,MATCH($C36,final_df_sentiment!$B$1:$ZZ$1,0)))), "")</f>
        <v>0</v>
      </c>
      <c r="I36" s="5">
        <f>IF(O36 &gt; 0, AVERAGEIF(final_df_sentiment!$AM$2:$AM$100,I$2,(INDEX(final_df_sentiment!$B$2:$ZZ$100,,MATCH($C36,final_df_sentiment!$B$1:$ZZ$1,0)))), "")</f>
        <v>0</v>
      </c>
      <c r="J36" s="4">
        <f>COUNTIFS((INDEX(final_df_sentiment!$B$2:$ZZ$100,,MATCH($C36,final_df_sentiment!$B$1:$ZZ$1,0))), "&lt;&gt;")</f>
        <v>4</v>
      </c>
      <c r="K36" s="4">
        <f>COUNTIFS((INDEX(final_df_sentiment!$B$2:$ZZ$100,,MATCH($C36,final_df_sentiment!$B$1:$ZZ$1,0))), "&lt;&gt;", final_df_sentiment!$E$2:$E$100, K$2)</f>
        <v>2</v>
      </c>
      <c r="L36" s="4">
        <f>COUNTIFS((INDEX(final_df_sentiment!$B$2:$ZZ$100,,MATCH($C36,final_df_sentiment!$B$1:$ZZ$1,0))), "&lt;&gt;", final_df_sentiment!$E$2:$E$100, L$2)</f>
        <v>2</v>
      </c>
      <c r="M36" s="4">
        <f>COUNTIFS((INDEX(final_df_sentiment!$B$2:$ZZ$100,,MATCH($C36,final_df_sentiment!$B$1:$ZZ$1,0))), "&lt;&gt;", final_df_sentiment!$AM$2:$AM$100, M$2)</f>
        <v>0</v>
      </c>
      <c r="N36" s="4">
        <f>COUNTIFS((INDEX(final_df_sentiment!$B$2:$ZZ$100,,MATCH($C36,final_df_sentiment!$B$1:$ZZ$1,0))), "&lt;&gt;", final_df_sentiment!$AM$2:$AM$100, N$2)</f>
        <v>3</v>
      </c>
      <c r="O36" s="4">
        <f>COUNTIFS((INDEX(final_df_sentiment!$B$2:$ZZ$100,,MATCH($C36,final_df_sentiment!$B$1:$ZZ$1,0))), "&lt;&gt;", final_df_sentiment!$AM$2:$AM$100, O$2)</f>
        <v>1</v>
      </c>
    </row>
    <row r="37" spans="1:15" x14ac:dyDescent="0.25">
      <c r="A37" s="21"/>
      <c r="B37" s="4" t="s">
        <v>399</v>
      </c>
      <c r="C37" s="1" t="s">
        <v>52</v>
      </c>
      <c r="D37" s="5">
        <f>IF(J37 &gt; 0, AVERAGE((INDEX(final_df_sentiment!$B$2:$ZZ$100,,MATCH($C37,final_df_sentiment!$B$1:$ZZ$1,0)))), "")</f>
        <v>0.66666666666666663</v>
      </c>
      <c r="E37" s="5">
        <f>IF(K37 &gt; 0, AVERAGEIF(final_df_sentiment!$E$2:$E$100,E$2,(INDEX(final_df_sentiment!$B$2:$ZZ$100,,MATCH($C37,final_df_sentiment!$B$1:$ZZ$1,0)))), "")</f>
        <v>0.5</v>
      </c>
      <c r="F37" s="5">
        <f>IF(L37 &gt; 0, AVERAGEIF(final_df_sentiment!$E$2:$E$100,F$2,(INDEX(final_df_sentiment!$B$2:$ZZ$100,,MATCH($C37,final_df_sentiment!$B$1:$ZZ$1,0)))), "")</f>
        <v>1</v>
      </c>
      <c r="G37" s="5" t="str">
        <f>IF(M37 &gt; 0, AVERAGEIF(final_df_sentiment!$AM$2:$AM$100,G$2,(INDEX(final_df_sentiment!$B$2:$ZZ$100,,MATCH($C37,final_df_sentiment!$B$1:$ZZ$1,0)))), "")</f>
        <v/>
      </c>
      <c r="H37" s="5">
        <f>IF(N37 &gt; 0, AVERAGEIF(final_df_sentiment!$AM$2:$AM$100,H$2,(INDEX(final_df_sentiment!$B$2:$ZZ$100,,MATCH($C37,final_df_sentiment!$B$1:$ZZ$1,0)))), "")</f>
        <v>0.5</v>
      </c>
      <c r="I37" s="5">
        <f>IF(O37 &gt; 0, AVERAGEIF(final_df_sentiment!$AM$2:$AM$100,I$2,(INDEX(final_df_sentiment!$B$2:$ZZ$100,,MATCH($C37,final_df_sentiment!$B$1:$ZZ$1,0)))), "")</f>
        <v>1</v>
      </c>
      <c r="J37" s="4">
        <f>COUNTIFS((INDEX(final_df_sentiment!$B$2:$ZZ$100,,MATCH($C37,final_df_sentiment!$B$1:$ZZ$1,0))), "&lt;&gt;")</f>
        <v>3</v>
      </c>
      <c r="K37" s="4">
        <f>COUNTIFS((INDEX(final_df_sentiment!$B$2:$ZZ$100,,MATCH($C37,final_df_sentiment!$B$1:$ZZ$1,0))), "&lt;&gt;", final_df_sentiment!$E$2:$E$100, K$2)</f>
        <v>2</v>
      </c>
      <c r="L37" s="4">
        <f>COUNTIFS((INDEX(final_df_sentiment!$B$2:$ZZ$100,,MATCH($C37,final_df_sentiment!$B$1:$ZZ$1,0))), "&lt;&gt;", final_df_sentiment!$E$2:$E$100, L$2)</f>
        <v>1</v>
      </c>
      <c r="M37" s="4">
        <f>COUNTIFS((INDEX(final_df_sentiment!$B$2:$ZZ$100,,MATCH($C37,final_df_sentiment!$B$1:$ZZ$1,0))), "&lt;&gt;", final_df_sentiment!$AM$2:$AM$100, M$2)</f>
        <v>0</v>
      </c>
      <c r="N37" s="4">
        <f>COUNTIFS((INDEX(final_df_sentiment!$B$2:$ZZ$100,,MATCH($C37,final_df_sentiment!$B$1:$ZZ$1,0))), "&lt;&gt;", final_df_sentiment!$AM$2:$AM$100, N$2)</f>
        <v>2</v>
      </c>
      <c r="O37" s="4">
        <f>COUNTIFS((INDEX(final_df_sentiment!$B$2:$ZZ$100,,MATCH($C37,final_df_sentiment!$B$1:$ZZ$1,0))), "&lt;&gt;", final_df_sentiment!$AM$2:$AM$100, O$2)</f>
        <v>1</v>
      </c>
    </row>
    <row r="38" spans="1:15" x14ac:dyDescent="0.25">
      <c r="A38" s="21"/>
      <c r="B38" s="4" t="s">
        <v>403</v>
      </c>
      <c r="C38" s="1" t="s">
        <v>88</v>
      </c>
      <c r="D38" s="5" t="e">
        <f>IF(J38 &gt; 0, AVERAGE((INDEX(final_df_sentiment!$B$2:$ZZ$100,,MATCH($C38,final_df_sentiment!$B$1:$ZZ$1,0)))), "")</f>
        <v>#N/A</v>
      </c>
      <c r="E38" s="5" t="e">
        <f>IF(K38 &gt; 0, AVERAGEIF(final_df_sentiment!$E$2:$E$100,E$2,(INDEX(final_df_sentiment!$B$2:$ZZ$100,,MATCH($C38,final_df_sentiment!$B$1:$ZZ$1,0)))), "")</f>
        <v>#N/A</v>
      </c>
      <c r="F38" s="5" t="e">
        <f>IF(L38 &gt; 0, AVERAGEIF(final_df_sentiment!$E$2:$E$100,F$2,(INDEX(final_df_sentiment!$B$2:$ZZ$100,,MATCH($C38,final_df_sentiment!$B$1:$ZZ$1,0)))), "")</f>
        <v>#N/A</v>
      </c>
      <c r="G38" s="5" t="e">
        <f>IF(M38 &gt; 0, AVERAGEIF(final_df_sentiment!$AM$2:$AM$100,G$2,(INDEX(final_df_sentiment!$B$2:$ZZ$100,,MATCH($C38,final_df_sentiment!$B$1:$ZZ$1,0)))), "")</f>
        <v>#N/A</v>
      </c>
      <c r="H38" s="5" t="e">
        <f>IF(N38 &gt; 0, AVERAGEIF(final_df_sentiment!$AM$2:$AM$100,H$2,(INDEX(final_df_sentiment!$B$2:$ZZ$100,,MATCH($C38,final_df_sentiment!$B$1:$ZZ$1,0)))), "")</f>
        <v>#N/A</v>
      </c>
      <c r="I38" s="5" t="e">
        <f>IF(O38 &gt; 0, AVERAGEIF(final_df_sentiment!$AM$2:$AM$100,I$2,(INDEX(final_df_sentiment!$B$2:$ZZ$100,,MATCH($C38,final_df_sentiment!$B$1:$ZZ$1,0)))), "")</f>
        <v>#N/A</v>
      </c>
      <c r="J38" s="4" t="e">
        <f>COUNTIFS((INDEX(final_df_sentiment!$B$2:$ZZ$100,,MATCH($C38,final_df_sentiment!$B$1:$ZZ$1,0))), "&lt;&gt;")</f>
        <v>#N/A</v>
      </c>
      <c r="K38" s="4" t="e">
        <f>COUNTIFS((INDEX(final_df_sentiment!$B$2:$ZZ$100,,MATCH($C38,final_df_sentiment!$B$1:$ZZ$1,0))), "&lt;&gt;", final_df_sentiment!$E$2:$E$100, K$2)</f>
        <v>#N/A</v>
      </c>
      <c r="L38" s="4" t="e">
        <f>COUNTIFS((INDEX(final_df_sentiment!$B$2:$ZZ$100,,MATCH($C38,final_df_sentiment!$B$1:$ZZ$1,0))), "&lt;&gt;", final_df_sentiment!$E$2:$E$100, L$2)</f>
        <v>#N/A</v>
      </c>
      <c r="M38" s="4" t="e">
        <f>COUNTIFS((INDEX(final_df_sentiment!$B$2:$ZZ$100,,MATCH($C38,final_df_sentiment!$B$1:$ZZ$1,0))), "&lt;&gt;", final_df_sentiment!$AM$2:$AM$100, M$2)</f>
        <v>#N/A</v>
      </c>
      <c r="N38" s="4" t="e">
        <f>COUNTIFS((INDEX(final_df_sentiment!$B$2:$ZZ$100,,MATCH($C38,final_df_sentiment!$B$1:$ZZ$1,0))), "&lt;&gt;", final_df_sentiment!$AM$2:$AM$100, N$2)</f>
        <v>#N/A</v>
      </c>
      <c r="O38" s="4" t="e">
        <f>COUNTIFS((INDEX(final_df_sentiment!$B$2:$ZZ$100,,MATCH($C38,final_df_sentiment!$B$1:$ZZ$1,0))), "&lt;&gt;", final_df_sentiment!$AM$2:$AM$100, O$2)</f>
        <v>#N/A</v>
      </c>
    </row>
    <row r="39" spans="1:15" x14ac:dyDescent="0.25">
      <c r="A39" s="21"/>
      <c r="B39" s="4" t="s">
        <v>430</v>
      </c>
      <c r="C39" s="1" t="s">
        <v>82</v>
      </c>
      <c r="D39" s="5">
        <f>IF(J39 &gt; 0, AVERAGE((INDEX(final_df_sentiment!$B$2:$ZZ$100,,MATCH($C39,final_df_sentiment!$B$1:$ZZ$1,0)))), "")</f>
        <v>0</v>
      </c>
      <c r="E39" s="5">
        <f>IF(K39 &gt; 0, AVERAGEIF(final_df_sentiment!$E$2:$E$100,E$2,(INDEX(final_df_sentiment!$B$2:$ZZ$100,,MATCH($C39,final_df_sentiment!$B$1:$ZZ$1,0)))), "")</f>
        <v>0</v>
      </c>
      <c r="F39" s="5">
        <f>IF(L39 &gt; 0, AVERAGEIF(final_df_sentiment!$E$2:$E$100,F$2,(INDEX(final_df_sentiment!$B$2:$ZZ$100,,MATCH($C39,final_df_sentiment!$B$1:$ZZ$1,0)))), "")</f>
        <v>0</v>
      </c>
      <c r="G39" s="5" t="str">
        <f>IF(M39 &gt; 0, AVERAGEIF(final_df_sentiment!$AM$2:$AM$100,G$2,(INDEX(final_df_sentiment!$B$2:$ZZ$100,,MATCH($C39,final_df_sentiment!$B$1:$ZZ$1,0)))), "")</f>
        <v/>
      </c>
      <c r="H39" s="5">
        <f>IF(N39 &gt; 0, AVERAGEIF(final_df_sentiment!$AM$2:$AM$100,H$2,(INDEX(final_df_sentiment!$B$2:$ZZ$100,,MATCH($C39,final_df_sentiment!$B$1:$ZZ$1,0)))), "")</f>
        <v>0</v>
      </c>
      <c r="I39" s="5">
        <f>IF(O39 &gt; 0, AVERAGEIF(final_df_sentiment!$AM$2:$AM$100,I$2,(INDEX(final_df_sentiment!$B$2:$ZZ$100,,MATCH($C39,final_df_sentiment!$B$1:$ZZ$1,0)))), "")</f>
        <v>0</v>
      </c>
      <c r="J39" s="4">
        <f>COUNTIFS((INDEX(final_df_sentiment!$B$2:$ZZ$100,,MATCH($C39,final_df_sentiment!$B$1:$ZZ$1,0))), "&lt;&gt;")</f>
        <v>3</v>
      </c>
      <c r="K39" s="4">
        <f>COUNTIFS((INDEX(final_df_sentiment!$B$2:$ZZ$100,,MATCH($C39,final_df_sentiment!$B$1:$ZZ$1,0))), "&lt;&gt;", final_df_sentiment!$E$2:$E$100, K$2)</f>
        <v>2</v>
      </c>
      <c r="L39" s="4">
        <f>COUNTIFS((INDEX(final_df_sentiment!$B$2:$ZZ$100,,MATCH($C39,final_df_sentiment!$B$1:$ZZ$1,0))), "&lt;&gt;", final_df_sentiment!$E$2:$E$100, L$2)</f>
        <v>1</v>
      </c>
      <c r="M39" s="4">
        <f>COUNTIFS((INDEX(final_df_sentiment!$B$2:$ZZ$100,,MATCH($C39,final_df_sentiment!$B$1:$ZZ$1,0))), "&lt;&gt;", final_df_sentiment!$AM$2:$AM$100, M$2)</f>
        <v>0</v>
      </c>
      <c r="N39" s="4">
        <f>COUNTIFS((INDEX(final_df_sentiment!$B$2:$ZZ$100,,MATCH($C39,final_df_sentiment!$B$1:$ZZ$1,0))), "&lt;&gt;", final_df_sentiment!$AM$2:$AM$100, N$2)</f>
        <v>2</v>
      </c>
      <c r="O39" s="4">
        <f>COUNTIFS((INDEX(final_df_sentiment!$B$2:$ZZ$100,,MATCH($C39,final_df_sentiment!$B$1:$ZZ$1,0))), "&lt;&gt;", final_df_sentiment!$AM$2:$AM$100, O$2)</f>
        <v>1</v>
      </c>
    </row>
    <row r="40" spans="1:15" x14ac:dyDescent="0.25">
      <c r="A40" s="21"/>
      <c r="B40" s="4" t="s">
        <v>448</v>
      </c>
      <c r="C40" s="1" t="s">
        <v>83</v>
      </c>
      <c r="D40" s="5">
        <f>IF(J40 &gt; 0, AVERAGE((INDEX(final_df_sentiment!$B$2:$ZZ$100,,MATCH($C40,final_df_sentiment!$B$1:$ZZ$1,0)))), "")</f>
        <v>0</v>
      </c>
      <c r="E40" s="5">
        <f>IF(K40 &gt; 0, AVERAGEIF(final_df_sentiment!$E$2:$E$100,E$2,(INDEX(final_df_sentiment!$B$2:$ZZ$100,,MATCH($C40,final_df_sentiment!$B$1:$ZZ$1,0)))), "")</f>
        <v>0</v>
      </c>
      <c r="F40" s="5">
        <f>IF(L40 &gt; 0, AVERAGEIF(final_df_sentiment!$E$2:$E$100,F$2,(INDEX(final_df_sentiment!$B$2:$ZZ$100,,MATCH($C40,final_df_sentiment!$B$1:$ZZ$1,0)))), "")</f>
        <v>0</v>
      </c>
      <c r="G40" s="5">
        <f>IF(M40 &gt; 0, AVERAGEIF(final_df_sentiment!$AM$2:$AM$100,G$2,(INDEX(final_df_sentiment!$B$2:$ZZ$100,,MATCH($C40,final_df_sentiment!$B$1:$ZZ$1,0)))), "")</f>
        <v>0</v>
      </c>
      <c r="H40" s="5">
        <f>IF(N40 &gt; 0, AVERAGEIF(final_df_sentiment!$AM$2:$AM$100,H$2,(INDEX(final_df_sentiment!$B$2:$ZZ$100,,MATCH($C40,final_df_sentiment!$B$1:$ZZ$1,0)))), "")</f>
        <v>0</v>
      </c>
      <c r="I40" s="5">
        <f>IF(O40 &gt; 0, AVERAGEIF(final_df_sentiment!$AM$2:$AM$100,I$2,(INDEX(final_df_sentiment!$B$2:$ZZ$100,,MATCH($C40,final_df_sentiment!$B$1:$ZZ$1,0)))), "")</f>
        <v>0</v>
      </c>
      <c r="J40" s="4">
        <f>COUNTIFS((INDEX(final_df_sentiment!$B$2:$ZZ$100,,MATCH($C40,final_df_sentiment!$B$1:$ZZ$1,0))), "&lt;&gt;")</f>
        <v>4</v>
      </c>
      <c r="K40" s="4">
        <f>COUNTIFS((INDEX(final_df_sentiment!$B$2:$ZZ$100,,MATCH($C40,final_df_sentiment!$B$1:$ZZ$1,0))), "&lt;&gt;", final_df_sentiment!$E$2:$E$100, K$2)</f>
        <v>2</v>
      </c>
      <c r="L40" s="4">
        <f>COUNTIFS((INDEX(final_df_sentiment!$B$2:$ZZ$100,,MATCH($C40,final_df_sentiment!$B$1:$ZZ$1,0))), "&lt;&gt;", final_df_sentiment!$E$2:$E$100, L$2)</f>
        <v>2</v>
      </c>
      <c r="M40" s="4">
        <f>COUNTIFS((INDEX(final_df_sentiment!$B$2:$ZZ$100,,MATCH($C40,final_df_sentiment!$B$1:$ZZ$1,0))), "&lt;&gt;", final_df_sentiment!$AM$2:$AM$100, M$2)</f>
        <v>1</v>
      </c>
      <c r="N40" s="4">
        <f>COUNTIFS((INDEX(final_df_sentiment!$B$2:$ZZ$100,,MATCH($C40,final_df_sentiment!$B$1:$ZZ$1,0))), "&lt;&gt;", final_df_sentiment!$AM$2:$AM$100, N$2)</f>
        <v>2</v>
      </c>
      <c r="O40" s="4">
        <f>COUNTIFS((INDEX(final_df_sentiment!$B$2:$ZZ$100,,MATCH($C40,final_df_sentiment!$B$1:$ZZ$1,0))), "&lt;&gt;", final_df_sentiment!$AM$2:$AM$100, O$2)</f>
        <v>1</v>
      </c>
    </row>
    <row r="41" spans="1:15" x14ac:dyDescent="0.25">
      <c r="A41" s="21"/>
      <c r="B41" s="4" t="s">
        <v>402</v>
      </c>
      <c r="C41" s="1" t="s">
        <v>92</v>
      </c>
      <c r="D41" s="5">
        <f>IF(J41 &gt; 0, AVERAGE((INDEX(final_df_sentiment!$B$2:$ZZ$100,,MATCH($C41,final_df_sentiment!$B$1:$ZZ$1,0)))), "")</f>
        <v>0</v>
      </c>
      <c r="E41" s="5">
        <f>IF(K41 &gt; 0, AVERAGEIF(final_df_sentiment!$E$2:$E$100,E$2,(INDEX(final_df_sentiment!$B$2:$ZZ$100,,MATCH($C41,final_df_sentiment!$B$1:$ZZ$1,0)))), "")</f>
        <v>0</v>
      </c>
      <c r="F41" s="5">
        <f>IF(L41 &gt; 0, AVERAGEIF(final_df_sentiment!$E$2:$E$100,F$2,(INDEX(final_df_sentiment!$B$2:$ZZ$100,,MATCH($C41,final_df_sentiment!$B$1:$ZZ$1,0)))), "")</f>
        <v>0</v>
      </c>
      <c r="G41" s="5">
        <f>IF(M41 &gt; 0, AVERAGEIF(final_df_sentiment!$AM$2:$AM$100,G$2,(INDEX(final_df_sentiment!$B$2:$ZZ$100,,MATCH($C41,final_df_sentiment!$B$1:$ZZ$1,0)))), "")</f>
        <v>0</v>
      </c>
      <c r="H41" s="5" t="str">
        <f>IF(N41 &gt; 0, AVERAGEIF(final_df_sentiment!$AM$2:$AM$100,H$2,(INDEX(final_df_sentiment!$B$2:$ZZ$100,,MATCH($C41,final_df_sentiment!$B$1:$ZZ$1,0)))), "")</f>
        <v/>
      </c>
      <c r="I41" s="5">
        <f>IF(O41 &gt; 0, AVERAGEIF(final_df_sentiment!$AM$2:$AM$100,I$2,(INDEX(final_df_sentiment!$B$2:$ZZ$100,,MATCH($C41,final_df_sentiment!$B$1:$ZZ$1,0)))), "")</f>
        <v>0</v>
      </c>
      <c r="J41" s="4">
        <f>COUNTIFS((INDEX(final_df_sentiment!$B$2:$ZZ$100,,MATCH($C41,final_df_sentiment!$B$1:$ZZ$1,0))), "&lt;&gt;")</f>
        <v>3</v>
      </c>
      <c r="K41" s="4">
        <f>COUNTIFS((INDEX(final_df_sentiment!$B$2:$ZZ$100,,MATCH($C41,final_df_sentiment!$B$1:$ZZ$1,0))), "&lt;&gt;", final_df_sentiment!$E$2:$E$100, K$2)</f>
        <v>1</v>
      </c>
      <c r="L41" s="4">
        <f>COUNTIFS((INDEX(final_df_sentiment!$B$2:$ZZ$100,,MATCH($C41,final_df_sentiment!$B$1:$ZZ$1,0))), "&lt;&gt;", final_df_sentiment!$E$2:$E$100, L$2)</f>
        <v>2</v>
      </c>
      <c r="M41" s="4">
        <f>COUNTIFS((INDEX(final_df_sentiment!$B$2:$ZZ$100,,MATCH($C41,final_df_sentiment!$B$1:$ZZ$1,0))), "&lt;&gt;", final_df_sentiment!$AM$2:$AM$100, M$2)</f>
        <v>2</v>
      </c>
      <c r="N41" s="4">
        <f>COUNTIFS((INDEX(final_df_sentiment!$B$2:$ZZ$100,,MATCH($C41,final_df_sentiment!$B$1:$ZZ$1,0))), "&lt;&gt;", final_df_sentiment!$AM$2:$AM$100, N$2)</f>
        <v>0</v>
      </c>
      <c r="O41" s="4">
        <f>COUNTIFS((INDEX(final_df_sentiment!$B$2:$ZZ$100,,MATCH($C41,final_df_sentiment!$B$1:$ZZ$1,0))), "&lt;&gt;", final_df_sentiment!$AM$2:$AM$100, O$2)</f>
        <v>1</v>
      </c>
    </row>
    <row r="42" spans="1:15" ht="15.75" thickBot="1" x14ac:dyDescent="0.3">
      <c r="A42" s="23"/>
      <c r="B42" s="4" t="s">
        <v>429</v>
      </c>
      <c r="C42" s="1" t="s">
        <v>89</v>
      </c>
      <c r="D42" s="5">
        <f>IF(J42 &gt; 0, AVERAGE((INDEX(final_df_sentiment!$B$2:$ZZ$100,,MATCH($C42,final_df_sentiment!$B$1:$ZZ$1,0)))), "")</f>
        <v>0.7</v>
      </c>
      <c r="E42" s="5">
        <f>IF(K42 &gt; 0, AVERAGEIF(final_df_sentiment!$E$2:$E$100,E$2,(INDEX(final_df_sentiment!$B$2:$ZZ$100,,MATCH($C42,final_df_sentiment!$B$1:$ZZ$1,0)))), "")</f>
        <v>0.5</v>
      </c>
      <c r="F42" s="5">
        <f>IF(L42 &gt; 0, AVERAGEIF(final_df_sentiment!$E$2:$E$100,F$2,(INDEX(final_df_sentiment!$B$2:$ZZ$100,,MATCH($C42,final_df_sentiment!$B$1:$ZZ$1,0)))), "")</f>
        <v>0.83333333333333337</v>
      </c>
      <c r="G42" s="5">
        <f>IF(M42 &gt; 0, AVERAGEIF(final_df_sentiment!$AM$2:$AM$100,G$2,(INDEX(final_df_sentiment!$B$2:$ZZ$100,,MATCH($C42,final_df_sentiment!$B$1:$ZZ$1,0)))), "")</f>
        <v>0.5</v>
      </c>
      <c r="H42" s="5">
        <f>IF(N42 &gt; 0, AVERAGEIF(final_df_sentiment!$AM$2:$AM$100,H$2,(INDEX(final_df_sentiment!$B$2:$ZZ$100,,MATCH($C42,final_df_sentiment!$B$1:$ZZ$1,0)))), "")</f>
        <v>0.5</v>
      </c>
      <c r="I42" s="5">
        <f>IF(O42 &gt; 0, AVERAGEIF(final_df_sentiment!$AM$2:$AM$100,I$2,(INDEX(final_df_sentiment!$B$2:$ZZ$100,,MATCH($C42,final_df_sentiment!$B$1:$ZZ$1,0)))), "")</f>
        <v>1</v>
      </c>
      <c r="J42" s="4">
        <f>COUNTIFS((INDEX(final_df_sentiment!$B$2:$ZZ$100,,MATCH($C42,final_df_sentiment!$B$1:$ZZ$1,0))), "&lt;&gt;")</f>
        <v>5</v>
      </c>
      <c r="K42" s="4">
        <f>COUNTIFS((INDEX(final_df_sentiment!$B$2:$ZZ$100,,MATCH($C42,final_df_sentiment!$B$1:$ZZ$1,0))), "&lt;&gt;", final_df_sentiment!$E$2:$E$100, K$2)</f>
        <v>2</v>
      </c>
      <c r="L42" s="4">
        <f>COUNTIFS((INDEX(final_df_sentiment!$B$2:$ZZ$100,,MATCH($C42,final_df_sentiment!$B$1:$ZZ$1,0))), "&lt;&gt;", final_df_sentiment!$E$2:$E$100, L$2)</f>
        <v>3</v>
      </c>
      <c r="M42" s="4">
        <f>COUNTIFS((INDEX(final_df_sentiment!$B$2:$ZZ$100,,MATCH($C42,final_df_sentiment!$B$1:$ZZ$1,0))), "&lt;&gt;", final_df_sentiment!$AM$2:$AM$100, M$2)</f>
        <v>1</v>
      </c>
      <c r="N42" s="4">
        <f>COUNTIFS((INDEX(final_df_sentiment!$B$2:$ZZ$100,,MATCH($C42,final_df_sentiment!$B$1:$ZZ$1,0))), "&lt;&gt;", final_df_sentiment!$AM$2:$AM$100, N$2)</f>
        <v>2</v>
      </c>
      <c r="O42" s="4">
        <f>COUNTIFS((INDEX(final_df_sentiment!$B$2:$ZZ$100,,MATCH($C42,final_df_sentiment!$B$1:$ZZ$1,0))), "&lt;&gt;", final_df_sentiment!$AM$2:$AM$100, O$2)</f>
        <v>2</v>
      </c>
    </row>
    <row r="43" spans="1:15" x14ac:dyDescent="0.25">
      <c r="A43" s="24" t="s">
        <v>395</v>
      </c>
      <c r="B43" s="7" t="s">
        <v>394</v>
      </c>
      <c r="C43" s="8" t="s">
        <v>53</v>
      </c>
      <c r="D43" s="9">
        <f>IF(J43 &gt; 0, AVERAGE((INDEX(final_df_sentiment!$B$2:$ZZ$100,,MATCH($C43,final_df_sentiment!$B$1:$ZZ$1,0)))), "")</f>
        <v>0.55510204081632653</v>
      </c>
      <c r="E43" s="9">
        <f>IF(K43 &gt; 0, AVERAGEIF(final_df_sentiment!$E$2:$E$100,E$2,(INDEX(final_df_sentiment!$B$2:$ZZ$100,,MATCH($C43,final_df_sentiment!$B$1:$ZZ$1,0)))), "")</f>
        <v>0.53181818181818175</v>
      </c>
      <c r="F43" s="9">
        <f>IF(L43 &gt; 0, AVERAGEIF(final_df_sentiment!$E$2:$E$100,F$2,(INDEX(final_df_sentiment!$B$2:$ZZ$100,,MATCH($C43,final_df_sentiment!$B$1:$ZZ$1,0)))), "")</f>
        <v>0.57407407407407407</v>
      </c>
      <c r="G43" s="9">
        <f>IF(M43 &gt; 0, AVERAGEIF(final_df_sentiment!$AM$2:$AM$100,G$2,(INDEX(final_df_sentiment!$B$2:$ZZ$100,,MATCH($C43,final_df_sentiment!$B$1:$ZZ$1,0)))), "")</f>
        <v>0.61764705882352944</v>
      </c>
      <c r="H43" s="9">
        <f>IF(N43 &gt; 0, AVERAGEIF(final_df_sentiment!$AM$2:$AM$100,H$2,(INDEX(final_df_sentiment!$B$2:$ZZ$100,,MATCH($C43,final_df_sentiment!$B$1:$ZZ$1,0)))), "")</f>
        <v>0.51333333333333331</v>
      </c>
      <c r="I43" s="10">
        <f>IF(O43 &gt; 0, AVERAGEIF(final_df_sentiment!$AM$2:$AM$100,I$2,(INDEX(final_df_sentiment!$B$2:$ZZ$100,,MATCH($C43,final_df_sentiment!$B$1:$ZZ$1,0)))), "")</f>
        <v>0.52941176470588236</v>
      </c>
      <c r="J43" s="4">
        <f>COUNTIFS((INDEX(final_df_sentiment!$B$2:$ZZ$100,,MATCH($C43,final_df_sentiment!$B$1:$ZZ$1,0))), "&lt;&gt;")</f>
        <v>49</v>
      </c>
      <c r="K43" s="4">
        <f>COUNTIFS((INDEX(final_df_sentiment!$B$2:$ZZ$100,,MATCH($C43,final_df_sentiment!$B$1:$ZZ$1,0))), "&lt;&gt;", final_df_sentiment!$E$2:$E$100, K$2)</f>
        <v>22</v>
      </c>
      <c r="L43" s="4">
        <f>COUNTIFS((INDEX(final_df_sentiment!$B$2:$ZZ$100,,MATCH($C43,final_df_sentiment!$B$1:$ZZ$1,0))), "&lt;&gt;", final_df_sentiment!$E$2:$E$100, L$2)</f>
        <v>27</v>
      </c>
      <c r="M43" s="4">
        <f>COUNTIFS((INDEX(final_df_sentiment!$B$2:$ZZ$100,,MATCH($C43,final_df_sentiment!$B$1:$ZZ$1,0))), "&lt;&gt;", final_df_sentiment!$AM$2:$AM$100, M$2)</f>
        <v>17</v>
      </c>
      <c r="N43" s="4">
        <f>COUNTIFS((INDEX(final_df_sentiment!$B$2:$ZZ$100,,MATCH($C43,final_df_sentiment!$B$1:$ZZ$1,0))), "&lt;&gt;", final_df_sentiment!$AM$2:$AM$100, N$2)</f>
        <v>15</v>
      </c>
      <c r="O43" s="4">
        <f>COUNTIFS((INDEX(final_df_sentiment!$B$2:$ZZ$100,,MATCH($C43,final_df_sentiment!$B$1:$ZZ$1,0))), "&lt;&gt;", final_df_sentiment!$AM$2:$AM$100, O$2)</f>
        <v>17</v>
      </c>
    </row>
    <row r="44" spans="1:15" x14ac:dyDescent="0.25">
      <c r="A44" s="25"/>
      <c r="B44" s="11" t="s">
        <v>407</v>
      </c>
      <c r="C44" s="12" t="s">
        <v>80</v>
      </c>
      <c r="D44" s="13">
        <f>IF(J44 &gt; 0, AVERAGE((INDEX(final_df_sentiment!$B$2:$ZZ$100,,MATCH($C44,final_df_sentiment!$B$1:$ZZ$1,0)))), "")</f>
        <v>0.96296296296296291</v>
      </c>
      <c r="E44" s="13">
        <f>IF(K44 &gt; 0, AVERAGEIF(final_df_sentiment!$E$2:$E$100,E$2,(INDEX(final_df_sentiment!$B$2:$ZZ$100,,MATCH($C44,final_df_sentiment!$B$1:$ZZ$1,0)))), "")</f>
        <v>0.95238095238095233</v>
      </c>
      <c r="F44" s="13">
        <f>IF(L44 &gt; 0, AVERAGEIF(final_df_sentiment!$E$2:$E$100,F$2,(INDEX(final_df_sentiment!$B$2:$ZZ$100,,MATCH($C44,final_df_sentiment!$B$1:$ZZ$1,0)))), "")</f>
        <v>0.96969696969696983</v>
      </c>
      <c r="G44" s="13">
        <f>IF(M44 &gt; 0, AVERAGEIF(final_df_sentiment!$AM$2:$AM$100,G$2,(INDEX(final_df_sentiment!$B$2:$ZZ$100,,MATCH($C44,final_df_sentiment!$B$1:$ZZ$1,0)))), "")</f>
        <v>0.93333333333333324</v>
      </c>
      <c r="H44" s="13">
        <f>IF(N44 &gt; 0, AVERAGEIF(final_df_sentiment!$AM$2:$AM$100,H$2,(INDEX(final_df_sentiment!$B$2:$ZZ$100,,MATCH($C44,final_df_sentiment!$B$1:$ZZ$1,0)))), "")</f>
        <v>1</v>
      </c>
      <c r="I44" s="14">
        <f>IF(O44 &gt; 0, AVERAGEIF(final_df_sentiment!$AM$2:$AM$100,I$2,(INDEX(final_df_sentiment!$B$2:$ZZ$100,,MATCH($C44,final_df_sentiment!$B$1:$ZZ$1,0)))), "")</f>
        <v>0.94444444444444431</v>
      </c>
      <c r="J44" s="4">
        <f>COUNTIFS((INDEX(final_df_sentiment!$B$2:$ZZ$100,,MATCH($C44,final_df_sentiment!$B$1:$ZZ$1,0))), "&lt;&gt;")</f>
        <v>18</v>
      </c>
      <c r="K44" s="4">
        <f>COUNTIFS((INDEX(final_df_sentiment!$B$2:$ZZ$100,,MATCH($C44,final_df_sentiment!$B$1:$ZZ$1,0))), "&lt;&gt;", final_df_sentiment!$E$2:$E$100, K$2)</f>
        <v>7</v>
      </c>
      <c r="L44" s="4">
        <f>COUNTIFS((INDEX(final_df_sentiment!$B$2:$ZZ$100,,MATCH($C44,final_df_sentiment!$B$1:$ZZ$1,0))), "&lt;&gt;", final_df_sentiment!$E$2:$E$100, L$2)</f>
        <v>11</v>
      </c>
      <c r="M44" s="4">
        <f>COUNTIFS((INDEX(final_df_sentiment!$B$2:$ZZ$100,,MATCH($C44,final_df_sentiment!$B$1:$ZZ$1,0))), "&lt;&gt;", final_df_sentiment!$AM$2:$AM$100, M$2)</f>
        <v>5</v>
      </c>
      <c r="N44" s="4">
        <f>COUNTIFS((INDEX(final_df_sentiment!$B$2:$ZZ$100,,MATCH($C44,final_df_sentiment!$B$1:$ZZ$1,0))), "&lt;&gt;", final_df_sentiment!$AM$2:$AM$100, N$2)</f>
        <v>7</v>
      </c>
      <c r="O44" s="4">
        <f>COUNTIFS((INDEX(final_df_sentiment!$B$2:$ZZ$100,,MATCH($C44,final_df_sentiment!$B$1:$ZZ$1,0))), "&lt;&gt;", final_df_sentiment!$AM$2:$AM$100, O$2)</f>
        <v>6</v>
      </c>
    </row>
    <row r="45" spans="1:15" x14ac:dyDescent="0.25">
      <c r="A45" s="25"/>
      <c r="B45" s="11" t="s">
        <v>436</v>
      </c>
      <c r="C45" s="12" t="s">
        <v>54</v>
      </c>
      <c r="D45" s="13">
        <f>IF(J45 &gt; 0, AVERAGE((INDEX(final_df_sentiment!$B$2:$ZZ$100,,MATCH($C45,final_df_sentiment!$B$1:$ZZ$1,0)))), "")</f>
        <v>0.24074074074074073</v>
      </c>
      <c r="E45" s="13">
        <f>IF(K45 &gt; 0, AVERAGEIF(final_df_sentiment!$E$2:$E$100,E$2,(INDEX(final_df_sentiment!$B$2:$ZZ$100,,MATCH($C45,final_df_sentiment!$B$1:$ZZ$1,0)))), "")</f>
        <v>0.19230769230769232</v>
      </c>
      <c r="F45" s="13">
        <f>IF(L45 &gt; 0, AVERAGEIF(final_df_sentiment!$E$2:$E$100,F$2,(INDEX(final_df_sentiment!$B$2:$ZZ$100,,MATCH($C45,final_df_sentiment!$B$1:$ZZ$1,0)))), "")</f>
        <v>0.2857142857142857</v>
      </c>
      <c r="G45" s="13">
        <f>IF(M45 &gt; 0, AVERAGEIF(final_df_sentiment!$AM$2:$AM$100,G$2,(INDEX(final_df_sentiment!$B$2:$ZZ$100,,MATCH($C45,final_df_sentiment!$B$1:$ZZ$1,0)))), "")</f>
        <v>0.2</v>
      </c>
      <c r="H45" s="13">
        <f>IF(N45 &gt; 0, AVERAGEIF(final_df_sentiment!$AM$2:$AM$100,H$2,(INDEX(final_df_sentiment!$B$2:$ZZ$100,,MATCH($C45,final_df_sentiment!$B$1:$ZZ$1,0)))), "")</f>
        <v>0.125</v>
      </c>
      <c r="I45" s="14">
        <f>IF(O45 &gt; 0, AVERAGEIF(final_df_sentiment!$AM$2:$AM$100,I$2,(INDEX(final_df_sentiment!$B$2:$ZZ$100,,MATCH($C45,final_df_sentiment!$B$1:$ZZ$1,0)))), "")</f>
        <v>0.3888888888888889</v>
      </c>
      <c r="J45" s="4">
        <f>COUNTIFS((INDEX(final_df_sentiment!$B$2:$ZZ$100,,MATCH($C45,final_df_sentiment!$B$1:$ZZ$1,0))), "&lt;&gt;")</f>
        <v>27</v>
      </c>
      <c r="K45" s="4">
        <f>COUNTIFS((INDEX(final_df_sentiment!$B$2:$ZZ$100,,MATCH($C45,final_df_sentiment!$B$1:$ZZ$1,0))), "&lt;&gt;", final_df_sentiment!$E$2:$E$100, K$2)</f>
        <v>13</v>
      </c>
      <c r="L45" s="4">
        <f>COUNTIFS((INDEX(final_df_sentiment!$B$2:$ZZ$100,,MATCH($C45,final_df_sentiment!$B$1:$ZZ$1,0))), "&lt;&gt;", final_df_sentiment!$E$2:$E$100, L$2)</f>
        <v>14</v>
      </c>
      <c r="M45" s="4">
        <f>COUNTIFS((INDEX(final_df_sentiment!$B$2:$ZZ$100,,MATCH($C45,final_df_sentiment!$B$1:$ZZ$1,0))), "&lt;&gt;", final_df_sentiment!$AM$2:$AM$100, M$2)</f>
        <v>10</v>
      </c>
      <c r="N45" s="4">
        <f>COUNTIFS((INDEX(final_df_sentiment!$B$2:$ZZ$100,,MATCH($C45,final_df_sentiment!$B$1:$ZZ$1,0))), "&lt;&gt;", final_df_sentiment!$AM$2:$AM$100, N$2)</f>
        <v>8</v>
      </c>
      <c r="O45" s="4">
        <f>COUNTIFS((INDEX(final_df_sentiment!$B$2:$ZZ$100,,MATCH($C45,final_df_sentiment!$B$1:$ZZ$1,0))), "&lt;&gt;", final_df_sentiment!$AM$2:$AM$100, O$2)</f>
        <v>9</v>
      </c>
    </row>
    <row r="46" spans="1:15" x14ac:dyDescent="0.25">
      <c r="A46" s="25"/>
      <c r="B46" s="11" t="s">
        <v>435</v>
      </c>
      <c r="C46" s="12" t="s">
        <v>55</v>
      </c>
      <c r="D46" s="13">
        <f>IF(J46 &gt; 0, AVERAGE((INDEX(final_df_sentiment!$B$2:$ZZ$100,,MATCH($C46,final_df_sentiment!$B$1:$ZZ$1,0)))), "")</f>
        <v>0.42948412698412691</v>
      </c>
      <c r="E46" s="13">
        <f>IF(K46 &gt; 0, AVERAGEIF(final_df_sentiment!$E$2:$E$100,E$2,(INDEX(final_df_sentiment!$B$2:$ZZ$100,,MATCH($C46,final_df_sentiment!$B$1:$ZZ$1,0)))), "")</f>
        <v>0.45149911816578481</v>
      </c>
      <c r="F46" s="13">
        <f>IF(L46 &gt; 0, AVERAGEIF(final_df_sentiment!$E$2:$E$100,F$2,(INDEX(final_df_sentiment!$B$2:$ZZ$100,,MATCH($C46,final_df_sentiment!$B$1:$ZZ$1,0)))), "")</f>
        <v>0.41147186147186154</v>
      </c>
      <c r="G46" s="13">
        <f>IF(M46 &gt; 0, AVERAGEIF(final_df_sentiment!$AM$2:$AM$100,G$2,(INDEX(final_df_sentiment!$B$2:$ZZ$100,,MATCH($C46,final_df_sentiment!$B$1:$ZZ$1,0)))), "")</f>
        <v>0.34047619047619049</v>
      </c>
      <c r="H46" s="13">
        <f>IF(N46 &gt; 0, AVERAGEIF(final_df_sentiment!$AM$2:$AM$100,H$2,(INDEX(final_df_sentiment!$B$2:$ZZ$100,,MATCH($C46,final_df_sentiment!$B$1:$ZZ$1,0)))), "")</f>
        <v>0.42573696145124712</v>
      </c>
      <c r="I46" s="14">
        <f>IF(O46 &gt; 0, AVERAGEIF(final_df_sentiment!$AM$2:$AM$100,I$2,(INDEX(final_df_sentiment!$B$2:$ZZ$100,,MATCH($C46,final_df_sentiment!$B$1:$ZZ$1,0)))), "")</f>
        <v>0.53769841269841268</v>
      </c>
      <c r="J46" s="4">
        <f>COUNTIFS((INDEX(final_df_sentiment!$B$2:$ZZ$100,,MATCH($C46,final_df_sentiment!$B$1:$ZZ$1,0))), "&lt;&gt;")</f>
        <v>40</v>
      </c>
      <c r="K46" s="4">
        <f>COUNTIFS((INDEX(final_df_sentiment!$B$2:$ZZ$100,,MATCH($C46,final_df_sentiment!$B$1:$ZZ$1,0))), "&lt;&gt;", final_df_sentiment!$E$2:$E$100, K$2)</f>
        <v>18</v>
      </c>
      <c r="L46" s="4">
        <f>COUNTIFS((INDEX(final_df_sentiment!$B$2:$ZZ$100,,MATCH($C46,final_df_sentiment!$B$1:$ZZ$1,0))), "&lt;&gt;", final_df_sentiment!$E$2:$E$100, L$2)</f>
        <v>22</v>
      </c>
      <c r="M46" s="4">
        <f>COUNTIFS((INDEX(final_df_sentiment!$B$2:$ZZ$100,,MATCH($C46,final_df_sentiment!$B$1:$ZZ$1,0))), "&lt;&gt;", final_df_sentiment!$AM$2:$AM$100, M$2)</f>
        <v>14</v>
      </c>
      <c r="N46" s="4">
        <f>COUNTIFS((INDEX(final_df_sentiment!$B$2:$ZZ$100,,MATCH($C46,final_df_sentiment!$B$1:$ZZ$1,0))), "&lt;&gt;", final_df_sentiment!$AM$2:$AM$100, N$2)</f>
        <v>14</v>
      </c>
      <c r="O46" s="4">
        <f>COUNTIFS((INDEX(final_df_sentiment!$B$2:$ZZ$100,,MATCH($C46,final_df_sentiment!$B$1:$ZZ$1,0))), "&lt;&gt;", final_df_sentiment!$AM$2:$AM$100, O$2)</f>
        <v>12</v>
      </c>
    </row>
    <row r="47" spans="1:15" ht="15.75" thickBot="1" x14ac:dyDescent="0.3">
      <c r="A47" s="26"/>
      <c r="B47" s="15" t="s">
        <v>408</v>
      </c>
      <c r="C47" s="16" t="s">
        <v>79</v>
      </c>
      <c r="D47" s="17">
        <f>IF(J47 &gt; 0, AVERAGE((INDEX(final_df_sentiment!$B$2:$ZZ$100,,MATCH($C47,final_df_sentiment!$B$1:$ZZ$1,0)))), "")</f>
        <v>0.1461904761904762</v>
      </c>
      <c r="E47" s="17">
        <f>IF(K47 &gt; 0, AVERAGEIF(final_df_sentiment!$E$2:$E$100,E$2,(INDEX(final_df_sentiment!$B$2:$ZZ$100,,MATCH($C47,final_df_sentiment!$B$1:$ZZ$1,0)))), "")</f>
        <v>0.18055555555555555</v>
      </c>
      <c r="F47" s="17">
        <f>IF(L47 &gt; 0, AVERAGEIF(final_df_sentiment!$E$2:$E$100,F$2,(INDEX(final_df_sentiment!$B$2:$ZZ$100,,MATCH($C47,final_df_sentiment!$B$1:$ZZ$1,0)))), "")</f>
        <v>0.1282608695652174</v>
      </c>
      <c r="G47" s="17">
        <f>IF(M47 &gt; 0, AVERAGEIF(final_df_sentiment!$AM$2:$AM$100,G$2,(INDEX(final_df_sentiment!$B$2:$ZZ$100,,MATCH($C47,final_df_sentiment!$B$1:$ZZ$1,0)))), "")</f>
        <v>0.1130952380952381</v>
      </c>
      <c r="H47" s="17">
        <f>IF(N47 &gt; 0, AVERAGEIF(final_df_sentiment!$AM$2:$AM$100,H$2,(INDEX(final_df_sentiment!$B$2:$ZZ$100,,MATCH($C47,final_df_sentiment!$B$1:$ZZ$1,0)))), "")</f>
        <v>8.666666666666667E-2</v>
      </c>
      <c r="I47" s="18">
        <f>IF(O47 &gt; 0, AVERAGEIF(final_df_sentiment!$AM$2:$AM$100,I$2,(INDEX(final_df_sentiment!$B$2:$ZZ$100,,MATCH($C47,final_df_sentiment!$B$1:$ZZ$1,0)))), "")</f>
        <v>0.2424242424242424</v>
      </c>
      <c r="J47" s="4">
        <f>COUNTIFS((INDEX(final_df_sentiment!$B$2:$ZZ$100,,MATCH($C47,final_df_sentiment!$B$1:$ZZ$1,0))), "&lt;&gt;")</f>
        <v>35</v>
      </c>
      <c r="K47" s="4">
        <f>COUNTIFS((INDEX(final_df_sentiment!$B$2:$ZZ$100,,MATCH($C47,final_df_sentiment!$B$1:$ZZ$1,0))), "&lt;&gt;", final_df_sentiment!$E$2:$E$100, K$2)</f>
        <v>12</v>
      </c>
      <c r="L47" s="4">
        <f>COUNTIFS((INDEX(final_df_sentiment!$B$2:$ZZ$100,,MATCH($C47,final_df_sentiment!$B$1:$ZZ$1,0))), "&lt;&gt;", final_df_sentiment!$E$2:$E$100, L$2)</f>
        <v>23</v>
      </c>
      <c r="M47" s="4">
        <f>COUNTIFS((INDEX(final_df_sentiment!$B$2:$ZZ$100,,MATCH($C47,final_df_sentiment!$B$1:$ZZ$1,0))), "&lt;&gt;", final_df_sentiment!$AM$2:$AM$100, M$2)</f>
        <v>14</v>
      </c>
      <c r="N47" s="4">
        <f>COUNTIFS((INDEX(final_df_sentiment!$B$2:$ZZ$100,,MATCH($C47,final_df_sentiment!$B$1:$ZZ$1,0))), "&lt;&gt;", final_df_sentiment!$AM$2:$AM$100, N$2)</f>
        <v>10</v>
      </c>
      <c r="O47" s="4">
        <f>COUNTIFS((INDEX(final_df_sentiment!$B$2:$ZZ$100,,MATCH($C47,final_df_sentiment!$B$1:$ZZ$1,0))), "&lt;&gt;", final_df_sentiment!$AM$2:$AM$100, O$2)</f>
        <v>11</v>
      </c>
    </row>
  </sheetData>
  <mergeCells count="11">
    <mergeCell ref="J1:O1"/>
    <mergeCell ref="A14:A19"/>
    <mergeCell ref="A20:A23"/>
    <mergeCell ref="A11:A13"/>
    <mergeCell ref="A3:A7"/>
    <mergeCell ref="A9:A10"/>
    <mergeCell ref="A24:A28"/>
    <mergeCell ref="A29:A34"/>
    <mergeCell ref="A35:A42"/>
    <mergeCell ref="A43:A47"/>
    <mergeCell ref="D1:I1"/>
  </mergeCells>
  <conditionalFormatting sqref="D3:I4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final_df</vt:lpstr>
      <vt:lpstr>final_df_sentiment</vt:lpstr>
      <vt:lpstr>Elemzés - előfordulás</vt:lpstr>
      <vt:lpstr>Elemzés - előfordulás aránya</vt:lpstr>
      <vt:lpstr>Elemzés - érzelem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 Fernezelyi</dc:creator>
  <cp:lastModifiedBy>Simi Fernezelyi</cp:lastModifiedBy>
  <dcterms:created xsi:type="dcterms:W3CDTF">2026-01-14T12:24:15Z</dcterms:created>
  <dcterms:modified xsi:type="dcterms:W3CDTF">2026-01-14T15:41:43Z</dcterms:modified>
</cp:coreProperties>
</file>